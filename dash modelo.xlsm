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sibahia-my.sharepoint.com/personal/leonardo_simoes_fbter_org_br/Documents/centro_comp/opendss/alimentadores/"/>
    </mc:Choice>
  </mc:AlternateContent>
  <xr:revisionPtr revIDLastSave="892" documentId="8_{E6B94BB6-DCE3-46FB-8F6D-5FF69A938D3B}" xr6:coauthVersionLast="47" xr6:coauthVersionMax="47" xr10:uidLastSave="{21E4DE31-9D77-4591-97CF-13D4CDAE9939}"/>
  <bookViews>
    <workbookView xWindow="-120" yWindow="-120" windowWidth="20730" windowHeight="11160" firstSheet="2" activeTab="2" xr2:uid="{DC4E44EE-8283-416F-8702-6EA1F382F6A3}"/>
  </bookViews>
  <sheets>
    <sheet name="BATTERY-DIESEL" sheetId="9" state="hidden" r:id="rId1"/>
    <sheet name="PV DIESEL" sheetId="8" state="hidden" r:id="rId2"/>
    <sheet name="DASHBOARD" sheetId="5" r:id="rId3"/>
    <sheet name="SYSTEM CONTROL" sheetId="11" state="hidden" r:id="rId4"/>
    <sheet name="BATTERY-DIESEL DATA" sheetId="4" state="hidden" r:id="rId5"/>
    <sheet name="PV-DIESEL DATA" sheetId="2" state="hidden" r:id="rId6"/>
    <sheet name="PV-DIESEL-BATTERY DATA" sheetId="7" state="hidden" r:id="rId7"/>
  </sheets>
  <definedNames>
    <definedName name="_xlnm.Print_Area" localSheetId="2">DASHBOARD!$A$1:$Q$34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0" i="11" l="1"/>
  <c r="J20" i="11"/>
  <c r="K15" i="11"/>
  <c r="J15" i="11"/>
  <c r="J10" i="11"/>
  <c r="K10" i="11"/>
  <c r="K9" i="11"/>
  <c r="J9" i="11"/>
  <c r="N10" i="11"/>
  <c r="O10" i="11"/>
  <c r="P10" i="11"/>
  <c r="Q10" i="11"/>
  <c r="R10" i="11"/>
  <c r="S10" i="11"/>
  <c r="N11" i="11"/>
  <c r="O11" i="11"/>
  <c r="P11" i="11"/>
  <c r="Q11" i="11"/>
  <c r="R11" i="11"/>
  <c r="S11" i="11"/>
  <c r="N12" i="11"/>
  <c r="O12" i="11"/>
  <c r="P12" i="11"/>
  <c r="Q12" i="11"/>
  <c r="R12" i="11"/>
  <c r="S12" i="11"/>
  <c r="O9" i="11"/>
  <c r="P9" i="11"/>
  <c r="Q9" i="11"/>
  <c r="R9" i="11"/>
  <c r="S9" i="11"/>
  <c r="N9" i="11"/>
  <c r="M6" i="11"/>
  <c r="M5" i="11"/>
  <c r="J4" i="11"/>
  <c r="K4" i="11"/>
  <c r="K3" i="11"/>
  <c r="J22" i="11"/>
  <c r="K22" i="11"/>
  <c r="K21" i="11"/>
  <c r="J21" i="11"/>
  <c r="J17" i="11"/>
  <c r="K17" i="11"/>
  <c r="K16" i="11"/>
  <c r="J16" i="11"/>
  <c r="J12" i="11"/>
  <c r="K12" i="11"/>
  <c r="K11" i="11"/>
  <c r="J11" i="11"/>
  <c r="J6" i="11"/>
  <c r="K6" i="11"/>
  <c r="K5" i="11"/>
  <c r="J5" i="11"/>
  <c r="J26" i="11"/>
  <c r="K26" i="11"/>
  <c r="J27" i="11"/>
  <c r="K27" i="11"/>
  <c r="K25" i="11"/>
  <c r="J25" i="11"/>
  <c r="J3" i="11"/>
  <c r="C6" i="11" a="1"/>
  <c r="C6" i="11" s="1"/>
  <c r="D6" i="11" a="1"/>
  <c r="D6" i="11" s="1"/>
  <c r="E6" i="11" a="1"/>
  <c r="E6" i="11" s="1"/>
  <c r="B6" i="11" a="1"/>
  <c r="B6" i="11" s="1"/>
  <c r="G7" i="7" a="1"/>
  <c r="G7" i="7" s="1"/>
  <c r="H7" i="7" a="1"/>
  <c r="H7" i="7" s="1"/>
  <c r="I7" i="7" a="1"/>
  <c r="I7" i="7" s="1"/>
  <c r="J7" i="7" a="1"/>
  <c r="J7" i="7" s="1"/>
  <c r="K7" i="7" a="1"/>
  <c r="K7" i="7" s="1"/>
  <c r="F7" i="7" a="1"/>
  <c r="F7" i="7" s="1"/>
  <c r="Q13" i="11" l="1" a="1"/>
  <c r="Q13" i="11" s="1"/>
  <c r="S13" i="11" a="1"/>
  <c r="S13" i="11" s="1"/>
  <c r="P13" i="11" a="1"/>
  <c r="P13" i="11" s="1"/>
  <c r="N13" i="11" a="1"/>
  <c r="N13" i="11" s="1"/>
  <c r="R13" i="11" a="1"/>
  <c r="R13" i="11" s="1"/>
  <c r="O13" i="11" a="1"/>
  <c r="O13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<sst xmlns="http://schemas.openxmlformats.org/spreadsheetml/2006/main" count="282" uniqueCount="54">
  <si>
    <t>Componentes</t>
  </si>
  <si>
    <t>Cenário 1</t>
  </si>
  <si>
    <t>Cenário 2</t>
  </si>
  <si>
    <t>Cenário 3</t>
  </si>
  <si>
    <t>Gerador 1 (kW)</t>
  </si>
  <si>
    <t>Gerador 2 (kW)</t>
  </si>
  <si>
    <t>Sistema FV (kW)</t>
  </si>
  <si>
    <t>Conversor (kW)</t>
  </si>
  <si>
    <t>Despacho</t>
  </si>
  <si>
    <t>CENÁRIOS</t>
  </si>
  <si>
    <t>Baterias (qtd)</t>
  </si>
  <si>
    <t>Baterias (kWh)</t>
  </si>
  <si>
    <t>Caso Base</t>
  </si>
  <si>
    <t>-</t>
  </si>
  <si>
    <t>Artigo</t>
  </si>
  <si>
    <t>Simulações próprias</t>
  </si>
  <si>
    <t>CC</t>
  </si>
  <si>
    <t>LF</t>
  </si>
  <si>
    <t>Legendas</t>
  </si>
  <si>
    <t>NPC</t>
  </si>
  <si>
    <t>LCOE</t>
  </si>
  <si>
    <t>ROI</t>
  </si>
  <si>
    <t>Payback</t>
  </si>
  <si>
    <t>npc</t>
  </si>
  <si>
    <t>Renewable fraction</t>
  </si>
  <si>
    <t>Índice cx de texto</t>
  </si>
  <si>
    <t>Gerador</t>
  </si>
  <si>
    <t>Sistema FV</t>
  </si>
  <si>
    <t>Conversor</t>
  </si>
  <si>
    <t>Bateria</t>
  </si>
  <si>
    <t>Vida Útil</t>
  </si>
  <si>
    <t>Custo Inicial</t>
  </si>
  <si>
    <t>Substituição</t>
  </si>
  <si>
    <t>O&amp;M</t>
  </si>
  <si>
    <t>90000 h</t>
  </si>
  <si>
    <t>25 anos</t>
  </si>
  <si>
    <t>15 anos</t>
  </si>
  <si>
    <t>30 anos</t>
  </si>
  <si>
    <t>C$ 0,00/kW</t>
  </si>
  <si>
    <t>C$ 2500,00/kW</t>
  </si>
  <si>
    <t>C$ 6000,00/kW</t>
  </si>
  <si>
    <t>C$ 1000,00/kW</t>
  </si>
  <si>
    <t>C$ 7000,00/bateria</t>
  </si>
  <si>
    <t>C$ 60,00/dia</t>
  </si>
  <si>
    <t>C$ 25,00/ano</t>
  </si>
  <si>
    <t>C$ 10,00/ano</t>
  </si>
  <si>
    <t>Índice</t>
  </si>
  <si>
    <t>Vínculo do Botão</t>
  </si>
  <si>
    <t>PV - Diesel - Battery</t>
  </si>
  <si>
    <t>Utilização de um sistema utilizando os geradores, sistema fotovoltaico e sistema de armazenamento de energia à baterias (BESS)</t>
  </si>
  <si>
    <t>PV - Diesel</t>
  </si>
  <si>
    <t>Utilização de um sistema utilizando os geradores, sistema fotovoltaico, mas sem sistema de armazenamento.</t>
  </si>
  <si>
    <t>Battery - Diesel</t>
  </si>
  <si>
    <t>Utilização de um sistema utilizando os geradores, com um sistema de armazenamento de energia à baterias (BESS), mas sem um sistema fotovoltaico.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</si>
</sst>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7" fillId="2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10" fontId="0" fillId="0" borderId="0" xfId="0" applyNumberForma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10" fontId="4" fillId="0" borderId="1" xfId="0" applyNumberFormat="1" applyFont="1" applyBorder="1" applyAlignment="1">
      <alignment horizontal="center"/>
    </xf>
    <xf numFmtId="10" fontId="4" fillId="0" borderId="2" xfId="0" applyNumberFormat="1" applyFont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2" fillId="0" borderId="0" xfId="0" applyFont="1"/>
    <xf numFmtId="0" fontId="1" fillId="0" borderId="0" xfId="0" applyFont="1"/>
    <xf numFmtId="2" fontId="0" fillId="0" borderId="0" xfId="0" applyNumberFormat="1"/>
    <xf numFmtId="0" fontId="0" fillId="3" borderId="0" xfId="0" applyFill="1"/>
    <xf numFmtId="0" fontId="6" fillId="3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Ênfase1" xfId="1" builtinId="29"/>
    <cellStyle name="Normal" xfId="0" builtinId="0"/>
  </cellStyles>
  <dxfs count="5"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6D636"/>
      <color rgb="FFD6A04D"/>
      <color rgb="FF2BD660"/>
      <color rgb="FFC9A6E4"/>
      <color rgb="FFAC75D5"/>
      <color rgb="FF512373"/>
      <color rgb="FFDD706D"/>
      <color rgb="FF81E7A1"/>
      <color rgb="FF297CD6"/>
      <color rgb="FF9926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  <a:latin typeface="Montserrat" panose="00000500000000000000" pitchFamily="2" charset="0"/>
              </a:rPr>
              <a:t>Net Present</a:t>
            </a:r>
            <a:r>
              <a:rPr lang="pt-BR" baseline="0">
                <a:solidFill>
                  <a:sysClr val="windowText" lastClr="000000"/>
                </a:solidFill>
                <a:latin typeface="Montserrat" panose="00000500000000000000" pitchFamily="2" charset="0"/>
              </a:rPr>
              <a:t> Cost (NPC)</a:t>
            </a:r>
            <a:endParaRPr lang="pt-BR">
              <a:solidFill>
                <a:sysClr val="windowText" lastClr="000000"/>
              </a:solidFill>
              <a:latin typeface="Montserrat" panose="000005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'BATTERY-DIESEL DATA'!$B$2</c:f>
              <c:strCache>
                <c:ptCount val="1"/>
                <c:pt idx="0">
                  <c:v>Artigo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'BATTERY-DIESEL DATA'!$A$3:$A$4</c:f>
              <c:strCache>
                <c:ptCount val="2"/>
                <c:pt idx="0">
                  <c:v>Caso Base</c:v>
                </c:pt>
                <c:pt idx="1">
                  <c:v>Cenário 1</c:v>
                </c:pt>
              </c:strCache>
            </c:strRef>
          </c:cat>
          <c:val>
            <c:numRef>
              <c:f>'BATTERY-DIESEL DATA'!$B$3:$B$4</c:f>
              <c:numCache>
                <c:formatCode>_-[$$-409]* #,##0.00_ ;_-[$$-409]* \-#,##0.00\ ;_-[$$-409]* "-"??_ ;_-@_ </c:formatCode>
                <c:ptCount val="2"/>
                <c:pt idx="0">
                  <c:v>21314090</c:v>
                </c:pt>
                <c:pt idx="1">
                  <c:v>21393270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5-4E9A-8D95-60C41B8BA19D}"/>
            </c:ext>
          </c:extLst>
        </c:ser>
        <c:ser>
          <c:idx val="1"/>
          <c:order val="1"/>
          <c:tx>
            <c:strRef>
              <c:f>'BATTERY-DIESEL DATA'!$C$2</c:f>
              <c:strCache>
                <c:ptCount val="1"/>
                <c:pt idx="0">
                  <c:v>Simulações próprias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'BATTERY-DIESEL DATA'!$A$3:$A$4</c:f>
              <c:strCache>
                <c:ptCount val="2"/>
                <c:pt idx="0">
                  <c:v>Caso Base</c:v>
                </c:pt>
                <c:pt idx="1">
                  <c:v>Cenário 1</c:v>
                </c:pt>
              </c:strCache>
            </c:strRef>
          </c:cat>
          <c:val>
            <c:numRef>
              <c:f>'BATTERY-DIESEL DATA'!$C$3:$C$4</c:f>
              <c:numCache>
                <c:formatCode>_-[$$-409]* #,##0.00_ ;_-[$$-409]* \-#,##0.00\ ;_-[$$-409]* "-"??_ ;_-@_ </c:formatCode>
                <c:ptCount val="2"/>
                <c:pt idx="0">
                  <c:v>21043459.579999998</c:v>
                </c:pt>
                <c:pt idx="1">
                  <c:v>21135316.440000001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55-4E9A-8D95-60C41B8BA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3188047"/>
        <c:axId val="613189711"/>
      </c:barChart>
      <c:catAx>
        <c:axId val="61318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3189711"/>
        <c:crosses val="autoZero"/>
        <c:auto val="1"/>
        <c:lblAlgn val="ctr"/>
        <c:lblOffset val="100"/>
        <c:noMultiLvlLbl val="0"/>
      </c:catAx>
      <c:valAx>
        <c:axId val="613189711"/>
        <c:scaling>
          <c:orientation val="minMax"/>
          <c:max val="23000000"/>
          <c:min val="1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318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  <a:latin typeface="Montserrat" panose="00000500000000000000" pitchFamily="2" charset="0"/>
              </a:rPr>
              <a:t>Custo</a:t>
            </a:r>
            <a:r>
              <a:rPr lang="pt-BR" baseline="0">
                <a:solidFill>
                  <a:sysClr val="windowText" lastClr="000000"/>
                </a:solidFill>
                <a:latin typeface="Montserrat" panose="00000500000000000000" pitchFamily="2" charset="0"/>
              </a:rPr>
              <a:t> da energia (C$/kWh)</a:t>
            </a:r>
            <a:endParaRPr lang="pt-BR">
              <a:solidFill>
                <a:sysClr val="windowText" lastClr="000000"/>
              </a:solidFill>
              <a:latin typeface="Montserrat" panose="000005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'BATTERY-DIESEL DATA'!$B$6</c:f>
              <c:strCache>
                <c:ptCount val="1"/>
                <c:pt idx="0">
                  <c:v>Artigo</c:v>
                </c:pt>
              </c:strCache>
            </c:strRef>
          </c:tx>
          <c:spPr>
            <a:solidFill>
              <a:schemeClr val="accent4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'BATTERY-DIESEL DATA'!$A$7:$A$8</c:f>
              <c:strCache>
                <c:ptCount val="2"/>
                <c:pt idx="0">
                  <c:v>Caso Base</c:v>
                </c:pt>
                <c:pt idx="1">
                  <c:v>Cenário 1</c:v>
                </c:pt>
              </c:strCache>
            </c:strRef>
          </c:cat>
          <c:val>
            <c:numRef>
              <c:f>'BATTERY-DIESEL DATA'!$B$7:$B$8</c:f>
              <c:numCache>
                <c:formatCode>_-[$$-409]* #,##0.00_ ;_-[$$-409]* \-#,##0.00\ ;_-[$$-409]* "-"??_ ;_-@_ </c:formatCode>
                <c:ptCount val="2"/>
                <c:pt idx="0">
                  <c:v>0.51459999999999995</c:v>
                </c:pt>
                <c:pt idx="1">
                  <c:v>0.51649999999999996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26-464C-8355-A8E338A11B52}"/>
            </c:ext>
          </c:extLst>
        </c:ser>
        <c:ser>
          <c:idx val="1"/>
          <c:order val="1"/>
          <c:tx>
            <c:strRef>
              <c:f>'BATTERY-DIESEL DATA'!$C$6</c:f>
              <c:strCache>
                <c:ptCount val="1"/>
                <c:pt idx="0">
                  <c:v>Simulações próprias</c:v>
                </c:pt>
              </c:strCache>
            </c:strRef>
          </c:tx>
          <c:spPr>
            <a:solidFill>
              <a:schemeClr val="accent4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'BATTERY-DIESEL DATA'!$A$7:$A$8</c:f>
              <c:strCache>
                <c:ptCount val="2"/>
                <c:pt idx="0">
                  <c:v>Caso Base</c:v>
                </c:pt>
                <c:pt idx="1">
                  <c:v>Cenário 1</c:v>
                </c:pt>
              </c:strCache>
            </c:strRef>
          </c:cat>
          <c:val>
            <c:numRef>
              <c:f>'BATTERY-DIESEL DATA'!$C$7:$C$8</c:f>
              <c:numCache>
                <c:formatCode>_-[$$-409]* #,##0.00_ ;_-[$$-409]* \-#,##0.00\ ;_-[$$-409]* "-"??_ ;_-@_ </c:formatCode>
                <c:ptCount val="2"/>
                <c:pt idx="0">
                  <c:v>0.5252</c:v>
                </c:pt>
                <c:pt idx="1">
                  <c:v>0.52749999999999997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26-464C-8355-A8E338A11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0886223"/>
        <c:axId val="970896207"/>
      </c:barChart>
      <c:catAx>
        <c:axId val="9708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0896207"/>
        <c:crosses val="autoZero"/>
        <c:auto val="1"/>
        <c:lblAlgn val="ctr"/>
        <c:lblOffset val="100"/>
        <c:noMultiLvlLbl val="0"/>
      </c:catAx>
      <c:valAx>
        <c:axId val="970896207"/>
        <c:scaling>
          <c:orientation val="minMax"/>
          <c:max val="0.60000000000000009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08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tx1"/>
                </a:solidFill>
                <a:latin typeface="Montserrat" panose="00000500000000000000" pitchFamily="2" charset="0"/>
              </a:rPr>
              <a:t>Return on Investment (ROI)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'BATTERY-DIESEL DATA'!$B$10</c:f>
              <c:strCache>
                <c:ptCount val="1"/>
                <c:pt idx="0">
                  <c:v>Artigo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'BATTERY-DIESEL DATA'!$A$11</c:f>
              <c:strCache>
                <c:ptCount val="1"/>
                <c:pt idx="0">
                  <c:v>Cenário 1</c:v>
                </c:pt>
              </c:strCache>
            </c:strRef>
          </c:cat>
          <c:val>
            <c:numRef>
              <c:f>'BATTERY-DIESEL DATA'!$B$11</c:f>
              <c:numCache>
                <c:formatCode>0.00%</c:formatCode>
                <c:ptCount val="1"/>
                <c:pt idx="0">
                  <c:v>-2.5999999999999999E-2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F-4639-A8F1-982712424A89}"/>
            </c:ext>
          </c:extLst>
        </c:ser>
        <c:ser>
          <c:idx val="1"/>
          <c:order val="1"/>
          <c:tx>
            <c:strRef>
              <c:f>'BATTERY-DIESEL DATA'!$C$10</c:f>
              <c:strCache>
                <c:ptCount val="1"/>
                <c:pt idx="0">
                  <c:v>Simulações próprias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'BATTERY-DIESEL DATA'!$A$11</c:f>
              <c:strCache>
                <c:ptCount val="1"/>
                <c:pt idx="0">
                  <c:v>Cenário 1</c:v>
                </c:pt>
              </c:strCache>
            </c:strRef>
          </c:cat>
          <c:val>
            <c:numRef>
              <c:f>'BATTERY-DIESEL DATA'!$C$11</c:f>
              <c:numCache>
                <c:formatCode>0.00%</c:formatCode>
                <c:ptCount val="1"/>
                <c:pt idx="0">
                  <c:v>-4.2999999999999997E-2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7F-4639-A8F1-982712424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242495"/>
        <c:axId val="981242911"/>
      </c:barChart>
      <c:catAx>
        <c:axId val="981242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242911"/>
        <c:crosses val="autoZero"/>
        <c:auto val="1"/>
        <c:lblAlgn val="ctr"/>
        <c:lblOffset val="100"/>
        <c:noMultiLvlLbl val="0"/>
      </c:catAx>
      <c:valAx>
        <c:axId val="981242911"/>
        <c:scaling>
          <c:orientation val="minMax"/>
          <c:max val="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242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  <a:latin typeface="Montserrat" panose="00000500000000000000" pitchFamily="2" charset="0"/>
              </a:rPr>
              <a:t>Payback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'BATTERY-DIESEL DATA'!$A$14</c:f>
              <c:strCache>
                <c:ptCount val="1"/>
                <c:pt idx="0">
                  <c:v>Cenário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'BATTERY-DIESEL DATA'!$B$13:$C$13</c:f>
              <c:strCache>
                <c:ptCount val="2"/>
                <c:pt idx="0">
                  <c:v>Artigo</c:v>
                </c:pt>
                <c:pt idx="1">
                  <c:v>Simulações próprias</c:v>
                </c:pt>
              </c:strCache>
            </c:strRef>
          </c:cat>
          <c:val>
            <c:numRef>
              <c:f>'BATTERY-DIESEL DATA'!$B$14:$C$14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A-4F87-A062-2D712627A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8899951"/>
        <c:axId val="984426399"/>
      </c:lineChart>
      <c:catAx>
        <c:axId val="1138899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4426399"/>
        <c:crosses val="autoZero"/>
        <c:auto val="1"/>
        <c:lblAlgn val="ctr"/>
        <c:lblOffset val="100"/>
        <c:noMultiLvlLbl val="0"/>
      </c:catAx>
      <c:valAx>
        <c:axId val="98442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8899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  <a:latin typeface="Montserrat" panose="00000500000000000000" pitchFamily="2" charset="0"/>
              </a:rPr>
              <a:t>Net Present</a:t>
            </a:r>
            <a:r>
              <a:rPr lang="pt-BR" baseline="0">
                <a:solidFill>
                  <a:sysClr val="windowText" lastClr="000000"/>
                </a:solidFill>
                <a:latin typeface="Montserrat" panose="00000500000000000000" pitchFamily="2" charset="0"/>
              </a:rPr>
              <a:t> Cost (NPC)</a:t>
            </a:r>
            <a:endParaRPr lang="pt-BR">
              <a:solidFill>
                <a:sysClr val="windowText" lastClr="000000"/>
              </a:solidFill>
              <a:latin typeface="Montserrat" panose="000005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'PV-DIESEL DATA'!$B$2</c:f>
              <c:strCache>
                <c:ptCount val="1"/>
                <c:pt idx="0">
                  <c:v>Artigo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'PV-DIESEL DATA'!$A$3:$A$6</c:f>
              <c:strCache>
                <c:ptCount val="4"/>
                <c:pt idx="0">
                  <c:v>Caso Base</c:v>
                </c:pt>
                <c:pt idx="1">
                  <c:v>Cenário 1</c:v>
                </c:pt>
                <c:pt idx="2">
                  <c:v>Cenário 2</c:v>
                </c:pt>
                <c:pt idx="3">
                  <c:v>Cenário 3</c:v>
                </c:pt>
              </c:strCache>
            </c:strRef>
          </c:cat>
          <c:val>
            <c:numRef>
              <c:f>'PV-DIESEL DATA'!$B$3:$B$6</c:f>
              <c:numCache>
                <c:formatCode>_-[$$-409]* #,##0.00_ ;_-[$$-409]* \-#,##0.00\ ;_-[$$-409]* "-"??_ ;_-@_ </c:formatCode>
                <c:ptCount val="4"/>
                <c:pt idx="0">
                  <c:v>21314090</c:v>
                </c:pt>
                <c:pt idx="1">
                  <c:v>21364520</c:v>
                </c:pt>
                <c:pt idx="2">
                  <c:v>21684360</c:v>
                </c:pt>
                <c:pt idx="3">
                  <c:v>22649110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6A-4B90-9E28-DD1E67447C48}"/>
            </c:ext>
          </c:extLst>
        </c:ser>
        <c:ser>
          <c:idx val="1"/>
          <c:order val="1"/>
          <c:tx>
            <c:strRef>
              <c:f>'PV-DIESEL DATA'!$C$2</c:f>
              <c:strCache>
                <c:ptCount val="1"/>
                <c:pt idx="0">
                  <c:v>Simulações próprias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'PV-DIESEL DATA'!$A$3:$A$6</c:f>
              <c:strCache>
                <c:ptCount val="4"/>
                <c:pt idx="0">
                  <c:v>Caso Base</c:v>
                </c:pt>
                <c:pt idx="1">
                  <c:v>Cenário 1</c:v>
                </c:pt>
                <c:pt idx="2">
                  <c:v>Cenário 2</c:v>
                </c:pt>
                <c:pt idx="3">
                  <c:v>Cenário 3</c:v>
                </c:pt>
              </c:strCache>
            </c:strRef>
          </c:cat>
          <c:val>
            <c:numRef>
              <c:f>'PV-DIESEL DATA'!$C$3:$C$6</c:f>
              <c:numCache>
                <c:formatCode>_-[$$-409]* #,##0.00_ ;_-[$$-409]* \-#,##0.00\ ;_-[$$-409]* "-"??_ ;_-@_ </c:formatCode>
                <c:ptCount val="4"/>
                <c:pt idx="0">
                  <c:v>21043459.579999998</c:v>
                </c:pt>
                <c:pt idx="1">
                  <c:v>21359921.629999999</c:v>
                </c:pt>
                <c:pt idx="2">
                  <c:v>21439067.91</c:v>
                </c:pt>
                <c:pt idx="3">
                  <c:v>22129062.050000001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6A-4B90-9E28-DD1E67447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3188047"/>
        <c:axId val="613189711"/>
      </c:barChart>
      <c:catAx>
        <c:axId val="61318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3189711"/>
        <c:crosses val="autoZero"/>
        <c:auto val="1"/>
        <c:lblAlgn val="ctr"/>
        <c:lblOffset val="100"/>
        <c:noMultiLvlLbl val="0"/>
      </c:catAx>
      <c:valAx>
        <c:axId val="613189711"/>
        <c:scaling>
          <c:orientation val="minMax"/>
          <c:max val="23000000"/>
          <c:min val="1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318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  <a:latin typeface="Montserrat" panose="00000500000000000000" pitchFamily="2" charset="0"/>
              </a:rPr>
              <a:t>Custo</a:t>
            </a:r>
            <a:r>
              <a:rPr lang="pt-BR" baseline="0">
                <a:solidFill>
                  <a:sysClr val="windowText" lastClr="000000"/>
                </a:solidFill>
                <a:latin typeface="Montserrat" panose="00000500000000000000" pitchFamily="2" charset="0"/>
              </a:rPr>
              <a:t> da energia (C$/kWh)</a:t>
            </a:r>
            <a:endParaRPr lang="pt-BR">
              <a:solidFill>
                <a:sysClr val="windowText" lastClr="000000"/>
              </a:solidFill>
              <a:latin typeface="Montserrat" panose="000005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'PV-DIESEL DATA'!$B$8</c:f>
              <c:strCache>
                <c:ptCount val="1"/>
                <c:pt idx="0">
                  <c:v>Artigo</c:v>
                </c:pt>
              </c:strCache>
            </c:strRef>
          </c:tx>
          <c:spPr>
            <a:solidFill>
              <a:schemeClr val="accent4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'PV-DIESEL DATA'!$A$9:$A$12</c:f>
              <c:strCache>
                <c:ptCount val="4"/>
                <c:pt idx="0">
                  <c:v>Caso Base</c:v>
                </c:pt>
                <c:pt idx="1">
                  <c:v>Cenário 1</c:v>
                </c:pt>
                <c:pt idx="2">
                  <c:v>Cenário 2</c:v>
                </c:pt>
                <c:pt idx="3">
                  <c:v>Cenário 3</c:v>
                </c:pt>
              </c:strCache>
            </c:strRef>
          </c:cat>
          <c:val>
            <c:numRef>
              <c:f>'PV-DIESEL DATA'!$B$9:$B$12</c:f>
              <c:numCache>
                <c:formatCode>_-[$$-409]* #,##0.00_ ;_-[$$-409]* \-#,##0.00\ ;_-[$$-409]* "-"??_ ;_-@_ </c:formatCode>
                <c:ptCount val="4"/>
                <c:pt idx="0">
                  <c:v>0.51459999999999995</c:v>
                </c:pt>
                <c:pt idx="1">
                  <c:v>0.51580000000000004</c:v>
                </c:pt>
                <c:pt idx="2">
                  <c:v>0.52349999999999997</c:v>
                </c:pt>
                <c:pt idx="3">
                  <c:v>0.54679999999999995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F6-47FC-A493-B02045B39097}"/>
            </c:ext>
          </c:extLst>
        </c:ser>
        <c:ser>
          <c:idx val="1"/>
          <c:order val="1"/>
          <c:tx>
            <c:strRef>
              <c:f>'PV-DIESEL DATA'!$C$8</c:f>
              <c:strCache>
                <c:ptCount val="1"/>
                <c:pt idx="0">
                  <c:v>Simulações próprias</c:v>
                </c:pt>
              </c:strCache>
            </c:strRef>
          </c:tx>
          <c:spPr>
            <a:solidFill>
              <a:schemeClr val="accent4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'PV-DIESEL DATA'!$A$9:$A$12</c:f>
              <c:strCache>
                <c:ptCount val="4"/>
                <c:pt idx="0">
                  <c:v>Caso Base</c:v>
                </c:pt>
                <c:pt idx="1">
                  <c:v>Cenário 1</c:v>
                </c:pt>
                <c:pt idx="2">
                  <c:v>Cenário 2</c:v>
                </c:pt>
                <c:pt idx="3">
                  <c:v>Cenário 3</c:v>
                </c:pt>
              </c:strCache>
            </c:strRef>
          </c:cat>
          <c:val>
            <c:numRef>
              <c:f>'PV-DIESEL DATA'!$C$9:$C$12</c:f>
              <c:numCache>
                <c:formatCode>_-[$$-409]* #,##0.00_ ;_-[$$-409]* \-#,##0.00\ ;_-[$$-409]* "-"??_ ;_-@_ </c:formatCode>
                <c:ptCount val="4"/>
                <c:pt idx="0">
                  <c:v>0.5252</c:v>
                </c:pt>
                <c:pt idx="1">
                  <c:v>0.53310000000000002</c:v>
                </c:pt>
                <c:pt idx="2">
                  <c:v>0.53510000000000002</c:v>
                </c:pt>
                <c:pt idx="3">
                  <c:v>0.55230000000000001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F6-47FC-A493-B02045B39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0886223"/>
        <c:axId val="970896207"/>
      </c:barChart>
      <c:catAx>
        <c:axId val="9708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0896207"/>
        <c:crosses val="autoZero"/>
        <c:auto val="1"/>
        <c:lblAlgn val="ctr"/>
        <c:lblOffset val="100"/>
        <c:noMultiLvlLbl val="0"/>
      </c:catAx>
      <c:valAx>
        <c:axId val="970896207"/>
        <c:scaling>
          <c:orientation val="minMax"/>
          <c:max val="0.60000000000000009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08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tx1"/>
                </a:solidFill>
                <a:latin typeface="Montserrat" panose="00000500000000000000" pitchFamily="2" charset="0"/>
              </a:rPr>
              <a:t>Return on Investment (ROI)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'PV-DIESEL DATA'!$B$14</c:f>
              <c:strCache>
                <c:ptCount val="1"/>
                <c:pt idx="0">
                  <c:v>Artigo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'PV-DIESEL DATA'!$A$15:$A$17</c:f>
              <c:strCache>
                <c:ptCount val="3"/>
                <c:pt idx="0">
                  <c:v>Cenário 1</c:v>
                </c:pt>
                <c:pt idx="1">
                  <c:v>Cenário 2</c:v>
                </c:pt>
                <c:pt idx="2">
                  <c:v>Cenário 3</c:v>
                </c:pt>
              </c:strCache>
            </c:strRef>
          </c:cat>
          <c:val>
            <c:numRef>
              <c:f>'PV-DIESEL DATA'!$B$15:$B$17</c:f>
              <c:numCache>
                <c:formatCode>0.00%</c:formatCode>
                <c:ptCount val="3"/>
                <c:pt idx="0">
                  <c:v>4.0000000000000001E-3</c:v>
                </c:pt>
                <c:pt idx="1">
                  <c:v>5.0000000000000001E-3</c:v>
                </c:pt>
                <c:pt idx="2">
                  <c:v>-1.0999999999999999E-2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0-44F0-B534-781A5031BB86}"/>
            </c:ext>
          </c:extLst>
        </c:ser>
        <c:ser>
          <c:idx val="1"/>
          <c:order val="1"/>
          <c:tx>
            <c:strRef>
              <c:f>'PV-DIESEL DATA'!$C$14</c:f>
              <c:strCache>
                <c:ptCount val="1"/>
                <c:pt idx="0">
                  <c:v>Simulações próprias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'PV-DIESEL DATA'!$A$15:$A$17</c:f>
              <c:strCache>
                <c:ptCount val="3"/>
                <c:pt idx="0">
                  <c:v>Cenário 1</c:v>
                </c:pt>
                <c:pt idx="1">
                  <c:v>Cenário 2</c:v>
                </c:pt>
                <c:pt idx="2">
                  <c:v>Cenário 3</c:v>
                </c:pt>
              </c:strCache>
            </c:strRef>
          </c:cat>
          <c:val>
            <c:numRef>
              <c:f>'PV-DIESEL DATA'!$C$15:$C$17</c:f>
              <c:numCache>
                <c:formatCode>0.00%</c:formatCode>
                <c:ptCount val="3"/>
                <c:pt idx="0">
                  <c:v>1.2999999999999999E-2</c:v>
                </c:pt>
                <c:pt idx="1">
                  <c:v>5.0000000000000001E-3</c:v>
                </c:pt>
                <c:pt idx="2">
                  <c:v>-2E-3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80-44F0-B534-781A5031B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242495"/>
        <c:axId val="981242911"/>
      </c:barChart>
      <c:catAx>
        <c:axId val="981242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242911"/>
        <c:crosses val="autoZero"/>
        <c:auto val="1"/>
        <c:lblAlgn val="ctr"/>
        <c:lblOffset val="100"/>
        <c:noMultiLvlLbl val="0"/>
      </c:catAx>
      <c:valAx>
        <c:axId val="981242911"/>
        <c:scaling>
          <c:orientation val="minMax"/>
          <c:max val="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242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  <a:latin typeface="Montserrat" panose="00000500000000000000" pitchFamily="2" charset="0"/>
              </a:rPr>
              <a:t>Payback (y)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'PV-DIESEL DATA'!$B$19</c:f>
              <c:strCache>
                <c:ptCount val="1"/>
                <c:pt idx="0">
                  <c:v>Artigo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'PV-DIESEL DATA'!$A$20:$A$22</c:f>
              <c:strCache>
                <c:ptCount val="3"/>
                <c:pt idx="0">
                  <c:v>Cenário 1</c:v>
                </c:pt>
                <c:pt idx="1">
                  <c:v>Cenário 2</c:v>
                </c:pt>
                <c:pt idx="2">
                  <c:v>Cenário 3</c:v>
                </c:pt>
              </c:strCache>
            </c:strRef>
          </c:cat>
          <c:val>
            <c:numRef>
              <c:f>'PV-DIESEL DATA'!$B$20:$B$22</c:f>
              <c:numCache>
                <c:formatCode>General</c:formatCode>
                <c:ptCount val="3"/>
                <c:pt idx="0">
                  <c:v>18.03</c:v>
                </c:pt>
                <c:pt idx="1">
                  <c:v>18.16</c:v>
                </c:pt>
                <c:pt idx="2">
                  <c:v>18.87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2-4C46-8118-9AD63EE73013}"/>
            </c:ext>
          </c:extLst>
        </c:ser>
        <c:ser>
          <c:idx val="1"/>
          <c:order val="1"/>
          <c:tx>
            <c:strRef>
              <c:f>'PV-DIESEL DATA'!$C$19</c:f>
              <c:strCache>
                <c:ptCount val="1"/>
                <c:pt idx="0">
                  <c:v>Simulações próprias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'PV-DIESEL DATA'!$A$20:$A$22</c:f>
              <c:strCache>
                <c:ptCount val="3"/>
                <c:pt idx="0">
                  <c:v>Cenário 1</c:v>
                </c:pt>
                <c:pt idx="1">
                  <c:v>Cenário 2</c:v>
                </c:pt>
                <c:pt idx="2">
                  <c:v>Cenário 3</c:v>
                </c:pt>
              </c:strCache>
            </c:strRef>
          </c:cat>
          <c:val>
            <c:numRef>
              <c:f>'PV-DIESEL DATA'!$C$20:$C$22</c:f>
              <c:numCache>
                <c:formatCode>General</c:formatCode>
                <c:ptCount val="3"/>
                <c:pt idx="0">
                  <c:v>19.21</c:v>
                </c:pt>
                <c:pt idx="1">
                  <c:v>19.649999999999999</c:v>
                </c:pt>
                <c:pt idx="2" formatCode="0.0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42-4C46-8118-9AD63EE73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4415999"/>
        <c:axId val="984425983"/>
      </c:barChart>
      <c:catAx>
        <c:axId val="984415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4425983"/>
        <c:crosses val="autoZero"/>
        <c:auto val="1"/>
        <c:lblAlgn val="ctr"/>
        <c:lblOffset val="100"/>
        <c:noMultiLvlLbl val="0"/>
      </c:catAx>
      <c:valAx>
        <c:axId val="984425983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4415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>
                <a:solidFill>
                  <a:sysClr val="windowText" lastClr="000000"/>
                </a:solidFill>
                <a:latin typeface="Montserrat" panose="00000500000000000000" pitchFamily="2" charset="0"/>
              </a:rPr>
              <a:t>Fração da energia renovável</a:t>
            </a:r>
            <a:endParaRPr lang="pt-BR">
              <a:solidFill>
                <a:sysClr val="windowText" lastClr="000000"/>
              </a:solidFill>
              <a:latin typeface="Montserrat" panose="000005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'PV-DIESEL DATA'!$B$24</c:f>
              <c:strCache>
                <c:ptCount val="1"/>
                <c:pt idx="0">
                  <c:v>Artigo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'PV-DIESEL DATA'!$A$25:$A$27</c:f>
              <c:strCache>
                <c:ptCount val="3"/>
                <c:pt idx="0">
                  <c:v>Cenário 1</c:v>
                </c:pt>
                <c:pt idx="1">
                  <c:v>Cenário 2</c:v>
                </c:pt>
                <c:pt idx="2">
                  <c:v>Cenário 3</c:v>
                </c:pt>
              </c:strCache>
            </c:strRef>
          </c:cat>
          <c:val>
            <c:numRef>
              <c:f>'PV-DIESEL DATA'!$B$25:$B$27</c:f>
              <c:numCache>
                <c:formatCode>0.00%</c:formatCode>
                <c:ptCount val="3"/>
                <c:pt idx="0">
                  <c:v>9.2899999999999996E-3</c:v>
                </c:pt>
                <c:pt idx="1">
                  <c:v>7.7600000000000002E-2</c:v>
                </c:pt>
                <c:pt idx="2">
                  <c:v>0.14699999999999999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3E-4547-9204-C72FDAD5328F}"/>
            </c:ext>
          </c:extLst>
        </c:ser>
        <c:ser>
          <c:idx val="1"/>
          <c:order val="1"/>
          <c:tx>
            <c:strRef>
              <c:f>'PV-DIESEL DATA'!$C$24</c:f>
              <c:strCache>
                <c:ptCount val="1"/>
                <c:pt idx="0">
                  <c:v>Simulações próprias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'PV-DIESEL DATA'!$A$25:$A$27</c:f>
              <c:strCache>
                <c:ptCount val="3"/>
                <c:pt idx="0">
                  <c:v>Cenário 1</c:v>
                </c:pt>
                <c:pt idx="1">
                  <c:v>Cenário 2</c:v>
                </c:pt>
                <c:pt idx="2">
                  <c:v>Cenário 3</c:v>
                </c:pt>
              </c:strCache>
            </c:strRef>
          </c:cat>
          <c:val>
            <c:numRef>
              <c:f>'PV-DIESEL DATA'!$C$25:$C$27</c:f>
              <c:numCache>
                <c:formatCode>0.00%</c:formatCode>
                <c:ptCount val="3"/>
                <c:pt idx="0">
                  <c:v>1.2E-2</c:v>
                </c:pt>
                <c:pt idx="1">
                  <c:v>9.0999999999999998E-2</c:v>
                </c:pt>
                <c:pt idx="2">
                  <c:v>0.14499999999999999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3E-4547-9204-C72FDAD53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8894959"/>
        <c:axId val="1138891631"/>
      </c:barChart>
      <c:catAx>
        <c:axId val="1138894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8891631"/>
        <c:crosses val="autoZero"/>
        <c:auto val="1"/>
        <c:lblAlgn val="ctr"/>
        <c:lblOffset val="100"/>
        <c:noMultiLvlLbl val="0"/>
      </c:catAx>
      <c:valAx>
        <c:axId val="1138891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8894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bg1">
                    <a:lumMod val="85000"/>
                  </a:schemeClr>
                </a:solidFill>
                <a:latin typeface="Montserrat" panose="00000500000000000000" pitchFamily="2" charset="0"/>
              </a:rPr>
              <a:t>Net Present</a:t>
            </a:r>
            <a:r>
              <a:rPr lang="pt-BR" b="1" baseline="0">
                <a:solidFill>
                  <a:schemeClr val="bg1">
                    <a:lumMod val="85000"/>
                  </a:schemeClr>
                </a:solidFill>
                <a:latin typeface="Montserrat" panose="00000500000000000000" pitchFamily="2" charset="0"/>
              </a:rPr>
              <a:t> Cost (NPC)</a:t>
            </a:r>
            <a:endParaRPr lang="pt-BR" b="1">
              <a:solidFill>
                <a:schemeClr val="bg1">
                  <a:lumMod val="85000"/>
                </a:schemeClr>
              </a:solidFill>
              <a:latin typeface="Montserrat" panose="000005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'SYSTEM CONTROL'!$J$2</c:f>
              <c:strCache>
                <c:ptCount val="1"/>
                <c:pt idx="0">
                  <c:v>Artigo</c:v>
                </c:pt>
              </c:strCache>
            </c:strRef>
          </c:tx>
          <c:spPr>
            <a:solidFill>
              <a:srgbClr val="D64D4B"/>
            </a:solidFill>
            <a:ln>
              <a:noFill/>
            </a:ln>
            <a:effectLst/>
          </c:spPr>
          <c:invertIfNegative val="0"/>
          <c:cat>
            <c:strRef>
              <c:f>'SYSTEM CONTROL'!$I$3:$I$6</c:f>
              <c:strCache>
                <c:ptCount val="4"/>
                <c:pt idx="0">
                  <c:v>Caso Base</c:v>
                </c:pt>
                <c:pt idx="1">
                  <c:v>Cenário 1</c:v>
                </c:pt>
                <c:pt idx="2">
                  <c:v>Cenário 2</c:v>
                </c:pt>
                <c:pt idx="3">
                  <c:v>Cenário 3</c:v>
                </c:pt>
              </c:strCache>
            </c:strRef>
          </c:cat>
          <c:val>
            <c:numRef>
              <c:f>'SYSTEM CONTROL'!$J$3:$J$6</c:f>
              <c:numCache>
                <c:formatCode>_-[$$-409]* #,##0.00_ ;_-[$$-409]* \-#,##0.00\ ;_-[$$-409]* "-"??_ ;_-@_ </c:formatCode>
                <c:ptCount val="4"/>
                <c:pt idx="0">
                  <c:v>21314090</c:v>
                </c:pt>
                <c:pt idx="1">
                  <c:v>21364520</c:v>
                </c:pt>
                <c:pt idx="2">
                  <c:v>21684360</c:v>
                </c:pt>
                <c:pt idx="3">
                  <c:v>22649110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8-4F46-BDC6-CF01DA452E21}"/>
            </c:ext>
          </c:extLst>
        </c:ser>
        <c:ser>
          <c:idx val="1"/>
          <c:order val="1"/>
          <c:tx>
            <c:strRef>
              <c:f>'SYSTEM CONTROL'!$K$2</c:f>
              <c:strCache>
                <c:ptCount val="1"/>
                <c:pt idx="0">
                  <c:v>Simulações próprias</c:v>
                </c:pt>
              </c:strCache>
            </c:strRef>
          </c:tx>
          <c:spPr>
            <a:solidFill>
              <a:srgbClr val="E48A88"/>
            </a:solidFill>
            <a:ln>
              <a:noFill/>
            </a:ln>
            <a:effectLst/>
          </c:spPr>
          <c:invertIfNegative val="0"/>
          <c:cat>
            <c:strRef>
              <c:f>'SYSTEM CONTROL'!$I$3:$I$6</c:f>
              <c:strCache>
                <c:ptCount val="4"/>
                <c:pt idx="0">
                  <c:v>Caso Base</c:v>
                </c:pt>
                <c:pt idx="1">
                  <c:v>Cenário 1</c:v>
                </c:pt>
                <c:pt idx="2">
                  <c:v>Cenário 2</c:v>
                </c:pt>
                <c:pt idx="3">
                  <c:v>Cenário 3</c:v>
                </c:pt>
              </c:strCache>
            </c:strRef>
          </c:cat>
          <c:val>
            <c:numRef>
              <c:f>'SYSTEM CONTROL'!$K$3:$K$6</c:f>
              <c:numCache>
                <c:formatCode>_-[$$-409]* #,##0.00_ ;_-[$$-409]* \-#,##0.00\ ;_-[$$-409]* "-"??_ ;_-@_ </c:formatCode>
                <c:ptCount val="4"/>
                <c:pt idx="0">
                  <c:v>21043459.579999998</c:v>
                </c:pt>
                <c:pt idx="1">
                  <c:v>21359921.629999999</c:v>
                </c:pt>
                <c:pt idx="2">
                  <c:v>21439067.91</c:v>
                </c:pt>
                <c:pt idx="3">
                  <c:v>22129062.050000001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E8-4F46-BDC6-CF01DA452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3188047"/>
        <c:axId val="613189711"/>
      </c:barChart>
      <c:catAx>
        <c:axId val="61318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3189711"/>
        <c:crosses val="autoZero"/>
        <c:auto val="1"/>
        <c:lblAlgn val="ctr"/>
        <c:lblOffset val="100"/>
        <c:noMultiLvlLbl val="0"/>
      </c:catAx>
      <c:valAx>
        <c:axId val="613189711"/>
        <c:scaling>
          <c:orientation val="minMax"/>
          <c:max val="23000000"/>
          <c:min val="15000000"/>
        </c:scaling>
        <c:delete val="0"/>
        <c:axPos val="l"/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318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bg1">
                    <a:lumMod val="85000"/>
                  </a:schemeClr>
                </a:solidFill>
                <a:latin typeface="Montserrat" panose="00000500000000000000" pitchFamily="2" charset="0"/>
              </a:rPr>
              <a:t>Custo da energia (C$/kWh)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'SYSTEM CONTROL'!$J$8</c:f>
              <c:strCache>
                <c:ptCount val="1"/>
                <c:pt idx="0">
                  <c:v>Artigo</c:v>
                </c:pt>
              </c:strCache>
            </c:strRef>
          </c:tx>
          <c:spPr>
            <a:solidFill>
              <a:srgbClr val="2BD660"/>
            </a:solidFill>
            <a:ln>
              <a:noFill/>
            </a:ln>
            <a:effectLst/>
          </c:spPr>
          <c:invertIfNegative val="0"/>
          <c:cat>
            <c:strRef>
              <c:f>'SYSTEM CONTROL'!$I$9:$I$12</c:f>
              <c:strCache>
                <c:ptCount val="4"/>
                <c:pt idx="0">
                  <c:v>Caso Base</c:v>
                </c:pt>
                <c:pt idx="1">
                  <c:v>Cenário 1</c:v>
                </c:pt>
                <c:pt idx="2">
                  <c:v>Cenário 2</c:v>
                </c:pt>
                <c:pt idx="3">
                  <c:v>Cenário 3</c:v>
                </c:pt>
              </c:strCache>
            </c:strRef>
          </c:cat>
          <c:val>
            <c:numRef>
              <c:f>'SYSTEM CONTROL'!$J$9:$J$12</c:f>
              <c:numCache>
                <c:formatCode>_-[$$-409]* #,##0.00_ ;_-[$$-409]* \-#,##0.00\ ;_-[$$-409]* "-"??_ ;_-@_ </c:formatCode>
                <c:ptCount val="4"/>
                <c:pt idx="0">
                  <c:v>0.51459999999999995</c:v>
                </c:pt>
                <c:pt idx="1">
                  <c:v>0.51580000000000004</c:v>
                </c:pt>
                <c:pt idx="2">
                  <c:v>0.52349999999999997</c:v>
                </c:pt>
                <c:pt idx="3">
                  <c:v>0.54679999999999995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4E-478C-A2A6-F504C434D936}"/>
            </c:ext>
          </c:extLst>
        </c:ser>
        <c:ser>
          <c:idx val="1"/>
          <c:order val="1"/>
          <c:tx>
            <c:strRef>
              <c:f>'SYSTEM CONTROL'!$K$8</c:f>
              <c:strCache>
                <c:ptCount val="1"/>
                <c:pt idx="0">
                  <c:v>Simulações próprias</c:v>
                </c:pt>
              </c:strCache>
            </c:strRef>
          </c:tx>
          <c:spPr>
            <a:solidFill>
              <a:srgbClr val="81E7A1"/>
            </a:solidFill>
            <a:ln>
              <a:noFill/>
            </a:ln>
            <a:effectLst/>
          </c:spPr>
          <c:invertIfNegative val="0"/>
          <c:cat>
            <c:strRef>
              <c:f>'SYSTEM CONTROL'!$I$9:$I$12</c:f>
              <c:strCache>
                <c:ptCount val="4"/>
                <c:pt idx="0">
                  <c:v>Caso Base</c:v>
                </c:pt>
                <c:pt idx="1">
                  <c:v>Cenário 1</c:v>
                </c:pt>
                <c:pt idx="2">
                  <c:v>Cenário 2</c:v>
                </c:pt>
                <c:pt idx="3">
                  <c:v>Cenário 3</c:v>
                </c:pt>
              </c:strCache>
            </c:strRef>
          </c:cat>
          <c:val>
            <c:numRef>
              <c:f>'SYSTEM CONTROL'!$K$9:$K$12</c:f>
              <c:numCache>
                <c:formatCode>_-[$$-409]* #,##0.00_ ;_-[$$-409]* \-#,##0.00\ ;_-[$$-409]* "-"??_ ;_-@_ </c:formatCode>
                <c:ptCount val="4"/>
                <c:pt idx="0">
                  <c:v>0.5252</c:v>
                </c:pt>
                <c:pt idx="1">
                  <c:v>0.53310000000000002</c:v>
                </c:pt>
                <c:pt idx="2">
                  <c:v>0.53510000000000002</c:v>
                </c:pt>
                <c:pt idx="3">
                  <c:v>0.55230000000000001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4E-478C-A2A6-F504C434D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0886223"/>
        <c:axId val="970896207"/>
      </c:barChart>
      <c:catAx>
        <c:axId val="9708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0896207"/>
        <c:crosses val="autoZero"/>
        <c:auto val="1"/>
        <c:lblAlgn val="ctr"/>
        <c:lblOffset val="100"/>
        <c:noMultiLvlLbl val="0"/>
      </c:catAx>
      <c:valAx>
        <c:axId val="970896207"/>
        <c:scaling>
          <c:orientation val="minMax"/>
          <c:max val="0.60000000000000009"/>
          <c:min val="0.30000000000000004"/>
        </c:scaling>
        <c:delete val="0"/>
        <c:axPos val="l"/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08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200" b="1">
                <a:solidFill>
                  <a:schemeClr val="bg1">
                    <a:lumMod val="85000"/>
                  </a:schemeClr>
                </a:solidFill>
                <a:latin typeface="Montserrat" panose="00000500000000000000" pitchFamily="2" charset="0"/>
              </a:rPr>
              <a:t>Return on Investment (ROI)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'SYSTEM CONTROL'!$J$14</c:f>
              <c:strCache>
                <c:ptCount val="1"/>
                <c:pt idx="0">
                  <c:v>Artigo</c:v>
                </c:pt>
              </c:strCache>
            </c:strRef>
          </c:tx>
          <c:spPr>
            <a:solidFill>
              <a:srgbClr val="D6A04D"/>
            </a:solidFill>
            <a:ln>
              <a:noFill/>
            </a:ln>
            <a:effectLst/>
          </c:spPr>
          <c:invertIfNegative val="0"/>
          <c:cat>
            <c:strRef>
              <c:f>'SYSTEM CONTROL'!$I$15:$I$17</c:f>
              <c:strCache>
                <c:ptCount val="3"/>
                <c:pt idx="0">
                  <c:v>Cenário 1</c:v>
                </c:pt>
                <c:pt idx="1">
                  <c:v>Cenário 2</c:v>
                </c:pt>
                <c:pt idx="2">
                  <c:v>Cenário 3</c:v>
                </c:pt>
              </c:strCache>
            </c:strRef>
          </c:cat>
          <c:val>
            <c:numRef>
              <c:f>'SYSTEM CONTROL'!$J$15:$J$17</c:f>
              <c:numCache>
                <c:formatCode>0.00%</c:formatCode>
                <c:ptCount val="3"/>
                <c:pt idx="0">
                  <c:v>4.0000000000000001E-3</c:v>
                </c:pt>
                <c:pt idx="1">
                  <c:v>5.0000000000000001E-3</c:v>
                </c:pt>
                <c:pt idx="2">
                  <c:v>-1.0999999999999999E-2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7-4009-98C9-1AA357A4192E}"/>
            </c:ext>
          </c:extLst>
        </c:ser>
        <c:ser>
          <c:idx val="1"/>
          <c:order val="1"/>
          <c:tx>
            <c:strRef>
              <c:f>'SYSTEM CONTROL'!$K$14</c:f>
              <c:strCache>
                <c:ptCount val="1"/>
                <c:pt idx="0">
                  <c:v>Simulações próprias</c:v>
                </c:pt>
              </c:strCache>
            </c:strRef>
          </c:tx>
          <c:spPr>
            <a:solidFill>
              <a:srgbClr val="E9C99B"/>
            </a:solidFill>
            <a:ln>
              <a:noFill/>
            </a:ln>
            <a:effectLst/>
          </c:spPr>
          <c:invertIfNegative val="0"/>
          <c:cat>
            <c:strRef>
              <c:f>'SYSTEM CONTROL'!$I$15:$I$17</c:f>
              <c:strCache>
                <c:ptCount val="3"/>
                <c:pt idx="0">
                  <c:v>Cenário 1</c:v>
                </c:pt>
                <c:pt idx="1">
                  <c:v>Cenário 2</c:v>
                </c:pt>
                <c:pt idx="2">
                  <c:v>Cenário 3</c:v>
                </c:pt>
              </c:strCache>
            </c:strRef>
          </c:cat>
          <c:val>
            <c:numRef>
              <c:f>'SYSTEM CONTROL'!$K$15:$K$17</c:f>
              <c:numCache>
                <c:formatCode>0.00%</c:formatCode>
                <c:ptCount val="3"/>
                <c:pt idx="0">
                  <c:v>1.2999999999999999E-2</c:v>
                </c:pt>
                <c:pt idx="1">
                  <c:v>5.0000000000000001E-3</c:v>
                </c:pt>
                <c:pt idx="2">
                  <c:v>-2E-3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7-4009-98C9-1AA357A41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242495"/>
        <c:axId val="981242911"/>
      </c:barChart>
      <c:catAx>
        <c:axId val="981242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242911"/>
        <c:crosses val="autoZero"/>
        <c:auto val="1"/>
        <c:lblAlgn val="ctr"/>
        <c:lblOffset val="100"/>
        <c:noMultiLvlLbl val="0"/>
      </c:catAx>
      <c:valAx>
        <c:axId val="981242911"/>
        <c:scaling>
          <c:orientation val="minMax"/>
          <c:max val="5.000000000000001E-2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242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bg1">
                    <a:lumMod val="85000"/>
                  </a:schemeClr>
                </a:solidFill>
                <a:latin typeface="Montserrat" panose="00000500000000000000" pitchFamily="2" charset="0"/>
              </a:rPr>
              <a:t>Payback (anos)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'SYSTEM CONTROL'!$J$19</c:f>
              <c:strCache>
                <c:ptCount val="1"/>
                <c:pt idx="0">
                  <c:v>Artigo</c:v>
                </c:pt>
              </c:strCache>
            </c:strRef>
          </c:tx>
          <c:spPr>
            <a:solidFill>
              <a:srgbClr val="297CD6"/>
            </a:solidFill>
            <a:ln>
              <a:noFill/>
            </a:ln>
            <a:effectLst/>
          </c:spPr>
          <c:invertIfNegative val="0"/>
          <c:cat>
            <c:strRef>
              <c:f>'SYSTEM CONTROL'!$I$20:$I$22</c:f>
              <c:strCache>
                <c:ptCount val="3"/>
                <c:pt idx="0">
                  <c:v>Cenário 1</c:v>
                </c:pt>
                <c:pt idx="1">
                  <c:v>Cenário 2</c:v>
                </c:pt>
                <c:pt idx="2">
                  <c:v>Cenário 3</c:v>
                </c:pt>
              </c:strCache>
            </c:strRef>
          </c:cat>
          <c:val>
            <c:numRef>
              <c:f>'SYSTEM CONTROL'!$J$20:$J$22</c:f>
              <c:numCache>
                <c:formatCode>0.00</c:formatCode>
                <c:ptCount val="3"/>
                <c:pt idx="0">
                  <c:v>18.03</c:v>
                </c:pt>
                <c:pt idx="1">
                  <c:v>18.16</c:v>
                </c:pt>
                <c:pt idx="2">
                  <c:v>18.87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C9-4F9F-B4E3-1FC126B2666C}"/>
            </c:ext>
          </c:extLst>
        </c:ser>
        <c:ser>
          <c:idx val="1"/>
          <c:order val="1"/>
          <c:tx>
            <c:strRef>
              <c:f>'SYSTEM CONTROL'!$K$19</c:f>
              <c:strCache>
                <c:ptCount val="1"/>
                <c:pt idx="0">
                  <c:v>Simulações próprias</c:v>
                </c:pt>
              </c:strCache>
            </c:strRef>
          </c:tx>
          <c:spPr>
            <a:solidFill>
              <a:srgbClr val="84B4E8"/>
            </a:solidFill>
            <a:ln>
              <a:noFill/>
            </a:ln>
            <a:effectLst/>
          </c:spPr>
          <c:invertIfNegative val="0"/>
          <c:cat>
            <c:strRef>
              <c:f>'SYSTEM CONTROL'!$I$20:$I$22</c:f>
              <c:strCache>
                <c:ptCount val="3"/>
                <c:pt idx="0">
                  <c:v>Cenário 1</c:v>
                </c:pt>
                <c:pt idx="1">
                  <c:v>Cenário 2</c:v>
                </c:pt>
                <c:pt idx="2">
                  <c:v>Cenário 3</c:v>
                </c:pt>
              </c:strCache>
            </c:strRef>
          </c:cat>
          <c:val>
            <c:numRef>
              <c:f>'SYSTEM CONTROL'!$K$20:$K$22</c:f>
              <c:numCache>
                <c:formatCode>0.00</c:formatCode>
                <c:ptCount val="3"/>
                <c:pt idx="0">
                  <c:v>19.21</c:v>
                </c:pt>
                <c:pt idx="1">
                  <c:v>19.649999999999999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C9-4F9F-B4E3-1FC126B26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4415999"/>
        <c:axId val="984425983"/>
      </c:barChart>
      <c:catAx>
        <c:axId val="984415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4425983"/>
        <c:crosses val="autoZero"/>
        <c:auto val="1"/>
        <c:lblAlgn val="ctr"/>
        <c:lblOffset val="100"/>
        <c:noMultiLvlLbl val="0"/>
      </c:catAx>
      <c:valAx>
        <c:axId val="984425983"/>
        <c:scaling>
          <c:orientation val="minMax"/>
          <c:max val="25"/>
          <c:min val="0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4415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200" b="1" baseline="0">
                <a:solidFill>
                  <a:schemeClr val="bg1">
                    <a:lumMod val="85000"/>
                  </a:schemeClr>
                </a:solidFill>
                <a:latin typeface="Montserrat" panose="00000500000000000000" pitchFamily="2" charset="0"/>
              </a:rPr>
              <a:t>Fração da energia renovável</a:t>
            </a:r>
            <a:endParaRPr lang="pt-BR" sz="1200" b="1">
              <a:solidFill>
                <a:schemeClr val="bg1">
                  <a:lumMod val="85000"/>
                </a:schemeClr>
              </a:solidFill>
              <a:latin typeface="Montserrat" panose="000005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'SYSTEM CONTROL'!$J$24</c:f>
              <c:strCache>
                <c:ptCount val="1"/>
                <c:pt idx="0">
                  <c:v>Artigo</c:v>
                </c:pt>
              </c:strCache>
            </c:strRef>
          </c:tx>
          <c:spPr>
            <a:solidFill>
              <a:srgbClr val="D6D636"/>
            </a:solidFill>
            <a:ln>
              <a:noFill/>
            </a:ln>
            <a:effectLst/>
          </c:spPr>
          <c:invertIfNegative val="0"/>
          <c:cat>
            <c:strRef>
              <c:f>'SYSTEM CONTROL'!$I$25:$I$27</c:f>
              <c:strCache>
                <c:ptCount val="3"/>
                <c:pt idx="0">
                  <c:v>Cenário 1</c:v>
                </c:pt>
                <c:pt idx="1">
                  <c:v>Cenário 2</c:v>
                </c:pt>
                <c:pt idx="2">
                  <c:v>Cenário 3</c:v>
                </c:pt>
              </c:strCache>
            </c:strRef>
          </c:cat>
          <c:val>
            <c:numRef>
              <c:f>'SYSTEM CONTROL'!$J$25:$J$27</c:f>
              <c:numCache>
                <c:formatCode>0.00%</c:formatCode>
                <c:ptCount val="3"/>
                <c:pt idx="0">
                  <c:v>9.2899999999999996E-3</c:v>
                </c:pt>
                <c:pt idx="1">
                  <c:v>7.7600000000000002E-2</c:v>
                </c:pt>
                <c:pt idx="2">
                  <c:v>0.14699999999999999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20-4494-BC41-1CF17463D465}"/>
            </c:ext>
          </c:extLst>
        </c:ser>
        <c:ser>
          <c:idx val="1"/>
          <c:order val="1"/>
          <c:tx>
            <c:strRef>
              <c:f>'SYSTEM CONTROL'!$K$24</c:f>
              <c:strCache>
                <c:ptCount val="1"/>
                <c:pt idx="0">
                  <c:v>Simulações próprias</c:v>
                </c:pt>
              </c:strCache>
            </c:strRef>
          </c:tx>
          <c:spPr>
            <a:solidFill>
              <a:srgbClr val="E5E270"/>
            </a:solidFill>
            <a:ln>
              <a:noFill/>
            </a:ln>
            <a:effectLst/>
          </c:spPr>
          <c:invertIfNegative val="0"/>
          <c:cat>
            <c:strRef>
              <c:f>'SYSTEM CONTROL'!$I$25:$I$27</c:f>
              <c:strCache>
                <c:ptCount val="3"/>
                <c:pt idx="0">
                  <c:v>Cenário 1</c:v>
                </c:pt>
                <c:pt idx="1">
                  <c:v>Cenário 2</c:v>
                </c:pt>
                <c:pt idx="2">
                  <c:v>Cenário 3</c:v>
                </c:pt>
              </c:strCache>
            </c:strRef>
          </c:cat>
          <c:val>
            <c:numRef>
              <c:f>'SYSTEM CONTROL'!$K$25:$K$27</c:f>
              <c:numCache>
                <c:formatCode>0.00%</c:formatCode>
                <c:ptCount val="3"/>
                <c:pt idx="0">
                  <c:v>1.2E-2</c:v>
                </c:pt>
                <c:pt idx="1">
                  <c:v>9.0999999999999998E-2</c:v>
                </c:pt>
                <c:pt idx="2">
                  <c:v>0.14499999999999999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20-4494-BC41-1CF17463D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8894959"/>
        <c:axId val="1138891631"/>
      </c:barChart>
      <c:catAx>
        <c:axId val="1138894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8891631"/>
        <c:crosses val="autoZero"/>
        <c:auto val="1"/>
        <c:lblAlgn val="ctr"/>
        <c:lblOffset val="100"/>
        <c:noMultiLvlLbl val="0"/>
      </c:catAx>
      <c:valAx>
        <c:axId val="1138891631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8894959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'SYSTEM CONTROL'!$T$9" fmlaRange="'PV-DIESEL-BATTERY DATA'!$E$3:$E$6" noThreeD="1" sel="1" val="0"/>
</file>

<file path=xl/ctrlProps/ctrlProp2.xml><?xml version="1.0" encoding="utf-8"?>
<formControlPr xmlns="http://schemas.microsoft.com/office/spreadsheetml/2009/9/main" objectType="Drop" dropStyle="combo" dx="22" fmlaLink="'SYSTEM CONTROL'!$F$2" fmlaRange="'SYSTEM CONTROL'!$A$2:$A$5" noThreeD="1" sel="4" val="0"/>
</file>

<file path=xl/ctrlProps/ctrlProp3.xml><?xml version="1.0" encoding="utf-8"?>
<formControlPr xmlns="http://schemas.microsoft.com/office/spreadsheetml/2009/9/main" objectType="Radio" firstButton="1" fmlaLink="'SYSTEM CONTROL'!$G$2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567017</xdr:colOff>
      <xdr:row>0</xdr:row>
      <xdr:rowOff>168089</xdr:rowOff>
    </xdr:from>
    <xdr:to>
      <xdr:col>5</xdr:col>
      <xdr:colOff>942975</xdr:colOff>
      <xdr:row>12</xdr:row>
      <xdr:rowOff>170341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967067</xdr:colOff>
      <xdr:row>3</xdr:row>
      <xdr:rowOff>134469</xdr:rowOff>
    </xdr:from>
    <xdr:to>
      <xdr:col>9</xdr:col>
      <xdr:colOff>78441</xdr:colOff>
      <xdr:row>9</xdr:row>
      <xdr:rowOff>67234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015067" y="705969"/>
          <a:ext cx="4235824" cy="1075765"/>
          <a:chOff x="4772025" y="57149"/>
          <a:chExt cx="3352800" cy="1075765"/>
        </a:xfrm>
      </xdr:grpSpPr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5295900" y="57149"/>
            <a:ext cx="2324100" cy="352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000" b="1">
                <a:solidFill>
                  <a:schemeClr val="tx1"/>
                </a:solidFill>
                <a:latin typeface="Montserrat" panose="00000500000000000000" pitchFamily="2" charset="0"/>
              </a:rPr>
              <a:t>Battery</a:t>
            </a:r>
            <a:r>
              <a:rPr lang="pt-BR" sz="2000" b="1" baseline="0">
                <a:solidFill>
                  <a:schemeClr val="tx1"/>
                </a:solidFill>
                <a:latin typeface="Montserrat" panose="00000500000000000000" pitchFamily="2" charset="0"/>
              </a:rPr>
              <a:t> - Diesel</a:t>
            </a:r>
          </a:p>
          <a:p>
            <a:pPr algn="ctr"/>
            <a:endParaRPr lang="pt-BR" sz="1400" b="0">
              <a:solidFill>
                <a:schemeClr val="tx1"/>
              </a:solidFill>
              <a:latin typeface="Montserrat" panose="00000500000000000000" pitchFamily="2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4772025" y="371474"/>
            <a:ext cx="3352800" cy="761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400">
                <a:solidFill>
                  <a:schemeClr val="tx1">
                    <a:lumMod val="50000"/>
                    <a:lumOff val="50000"/>
                  </a:schemeClr>
                </a:solidFill>
                <a:latin typeface="Tw Cen MT" panose="020B0602020104020603" pitchFamily="34" charset="0"/>
              </a:rPr>
              <a:t>Utilização</a:t>
            </a:r>
            <a:r>
              <a:rPr lang="pt-BR" sz="1400" baseline="0">
                <a:solidFill>
                  <a:schemeClr val="tx1">
                    <a:lumMod val="50000"/>
                    <a:lumOff val="50000"/>
                  </a:schemeClr>
                </a:solidFill>
                <a:latin typeface="Tw Cen MT" panose="020B0602020104020603" pitchFamily="34" charset="0"/>
              </a:rPr>
              <a:t> de um sistema utilizando os geradores, com um sistema de armazenamento de energia à baterias (BESS), mas sem um sistema fotovoltaico.</a:t>
            </a:r>
            <a:endParaRPr lang="pt-BR" sz="1400">
              <a:solidFill>
                <a:schemeClr val="tx1">
                  <a:lumMod val="50000"/>
                  <a:lumOff val="50000"/>
                </a:schemeClr>
              </a:solidFill>
              <a:latin typeface="Tw Cen MT" panose="020B0602020104020603" pitchFamily="34" charset="0"/>
            </a:endParaRPr>
          </a:p>
        </xdr:txBody>
      </xdr:sp>
    </xdr:grpSp>
    <xdr:clientData/>
  </xdr:twoCellAnchor>
  <xdr:twoCellAnchor>
    <xdr:from>
      <xdr:col>9</xdr:col>
      <xdr:colOff>324971</xdr:colOff>
      <xdr:row>0</xdr:row>
      <xdr:rowOff>170328</xdr:rowOff>
    </xdr:from>
    <xdr:to>
      <xdr:col>15</xdr:col>
      <xdr:colOff>142875</xdr:colOff>
      <xdr:row>12</xdr:row>
      <xdr:rowOff>189379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537879</xdr:colOff>
      <xdr:row>13</xdr:row>
      <xdr:rowOff>15688</xdr:rowOff>
    </xdr:from>
    <xdr:to>
      <xdr:col>5</xdr:col>
      <xdr:colOff>728382</xdr:colOff>
      <xdr:row>24</xdr:row>
      <xdr:rowOff>101412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1423147</xdr:colOff>
      <xdr:row>9</xdr:row>
      <xdr:rowOff>168086</xdr:rowOff>
    </xdr:from>
    <xdr:to>
      <xdr:col>7</xdr:col>
      <xdr:colOff>560294</xdr:colOff>
      <xdr:row>21</xdr:row>
      <xdr:rowOff>134469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169198</xdr:rowOff>
    </xdr:from>
    <xdr:to>
      <xdr:col>5</xdr:col>
      <xdr:colOff>781050</xdr:colOff>
      <xdr:row>12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1067920</xdr:colOff>
      <xdr:row>0</xdr:row>
      <xdr:rowOff>190499</xdr:rowOff>
    </xdr:from>
    <xdr:to>
      <xdr:col>9</xdr:col>
      <xdr:colOff>179294</xdr:colOff>
      <xdr:row>6</xdr:row>
      <xdr:rowOff>123264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4115920" y="190499"/>
          <a:ext cx="4235824" cy="1075765"/>
          <a:chOff x="4772025" y="57149"/>
          <a:chExt cx="3352800" cy="1075765"/>
        </a:xfrm>
      </xdr:grpSpPr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5295900" y="57149"/>
            <a:ext cx="2324100" cy="352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000" b="1">
                <a:solidFill>
                  <a:schemeClr val="tx1"/>
                </a:solidFill>
                <a:latin typeface="Montserrat" panose="00000500000000000000" pitchFamily="2" charset="0"/>
              </a:rPr>
              <a:t>PV</a:t>
            </a:r>
            <a:r>
              <a:rPr lang="pt-BR" sz="2000" b="1" baseline="0">
                <a:solidFill>
                  <a:schemeClr val="tx1"/>
                </a:solidFill>
                <a:latin typeface="Montserrat" panose="00000500000000000000" pitchFamily="2" charset="0"/>
              </a:rPr>
              <a:t> - Diesel</a:t>
            </a:r>
          </a:p>
          <a:p>
            <a:pPr algn="ctr"/>
            <a:endParaRPr lang="pt-BR" sz="1400" b="0">
              <a:solidFill>
                <a:schemeClr val="tx1"/>
              </a:solidFill>
              <a:latin typeface="Montserrat" panose="00000500000000000000" pitchFamily="2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4772025" y="371474"/>
            <a:ext cx="3352800" cy="761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400">
                <a:solidFill>
                  <a:schemeClr val="tx1">
                    <a:lumMod val="50000"/>
                    <a:lumOff val="50000"/>
                  </a:schemeClr>
                </a:solidFill>
                <a:latin typeface="Tw Cen MT" panose="020B0602020104020603" pitchFamily="34" charset="0"/>
              </a:rPr>
              <a:t>Utilização</a:t>
            </a:r>
            <a:r>
              <a:rPr lang="pt-BR" sz="1400" baseline="0">
                <a:solidFill>
                  <a:schemeClr val="tx1">
                    <a:lumMod val="50000"/>
                    <a:lumOff val="50000"/>
                  </a:schemeClr>
                </a:solidFill>
                <a:latin typeface="Tw Cen MT" panose="020B0602020104020603" pitchFamily="34" charset="0"/>
              </a:rPr>
              <a:t> de um sistema utilizando os geradores, sistema fotovoltaico, mas sem sistema de armazenamento.</a:t>
            </a:r>
            <a:endParaRPr lang="pt-BR" sz="1400">
              <a:solidFill>
                <a:schemeClr val="tx1">
                  <a:lumMod val="50000"/>
                  <a:lumOff val="50000"/>
                </a:schemeClr>
              </a:solidFill>
              <a:latin typeface="Tw Cen MT" panose="020B0602020104020603" pitchFamily="34" charset="0"/>
            </a:endParaRPr>
          </a:p>
        </xdr:txBody>
      </xdr:sp>
    </xdr:grpSp>
    <xdr:clientData/>
  </xdr:twoCellAnchor>
  <xdr:twoCellAnchor>
    <xdr:from>
      <xdr:col>9</xdr:col>
      <xdr:colOff>342900</xdr:colOff>
      <xdr:row>0</xdr:row>
      <xdr:rowOff>114299</xdr:rowOff>
    </xdr:from>
    <xdr:to>
      <xdr:col>15</xdr:col>
      <xdr:colOff>485774</xdr:colOff>
      <xdr:row>12</xdr:row>
      <xdr:rowOff>133350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380999</xdr:colOff>
      <xdr:row>13</xdr:row>
      <xdr:rowOff>38101</xdr:rowOff>
    </xdr:from>
    <xdr:to>
      <xdr:col>5</xdr:col>
      <xdr:colOff>876300</xdr:colOff>
      <xdr:row>24</xdr:row>
      <xdr:rowOff>123825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876299</xdr:colOff>
      <xdr:row>7</xdr:row>
      <xdr:rowOff>38100</xdr:rowOff>
    </xdr:from>
    <xdr:to>
      <xdr:col>9</xdr:col>
      <xdr:colOff>295274</xdr:colOff>
      <xdr:row>21</xdr:row>
      <xdr:rowOff>76199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314324</xdr:colOff>
      <xdr:row>12</xdr:row>
      <xdr:rowOff>114300</xdr:rowOff>
    </xdr:from>
    <xdr:to>
      <xdr:col>16</xdr:col>
      <xdr:colOff>38099</xdr:colOff>
      <xdr:row>24</xdr:row>
      <xdr:rowOff>133350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2678207</xdr:colOff>
      <xdr:row>22</xdr:row>
      <xdr:rowOff>22411</xdr:rowOff>
    </xdr:from>
    <xdr:to>
      <xdr:col>6</xdr:col>
      <xdr:colOff>918883</xdr:colOff>
      <xdr:row>23</xdr:row>
      <xdr:rowOff>168087</xdr:rowOff>
    </xdr:to>
    <xdr:sp macro="[0]!mudar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703795" y="4213411"/>
          <a:ext cx="974912" cy="336176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Montserrat" panose="00000500000000000000" pitchFamily="2" charset="0"/>
            </a:rPr>
            <a:t>Trocar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19050</xdr:colOff>
      <xdr:row>34</xdr:row>
      <xdr:rowOff>28575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13109121" cy="6505575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0</xdr:col>
      <xdr:colOff>114301</xdr:colOff>
      <xdr:row>0</xdr:row>
      <xdr:rowOff>85725</xdr:rowOff>
    </xdr:from>
    <xdr:to>
      <xdr:col>5</xdr:col>
      <xdr:colOff>1905000</xdr:colOff>
      <xdr:row>13</xdr:row>
      <xdr:rowOff>85725</xdr:rowOff>
    </xdr:to>
    <xdr:sp macro="" textlink="">
      <xdr:nvSpPr>
        <xdr:cNvPr id="63" name="Retângulo: Cantos Diagonais Arredondados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114301" y="85725"/>
          <a:ext cx="4852306" cy="2476500"/>
        </a:xfrm>
        <a:prstGeom prst="round2Diag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285749</xdr:colOff>
      <xdr:row>0</xdr:row>
      <xdr:rowOff>171450</xdr:rowOff>
    </xdr:from>
    <xdr:to>
      <xdr:col>5</xdr:col>
      <xdr:colOff>1724024</xdr:colOff>
      <xdr:row>6</xdr:row>
      <xdr:rowOff>133350</xdr:rowOff>
    </xdr:to>
    <xdr:sp macro="" textlink="">
      <xdr:nvSpPr>
        <xdr:cNvPr id="3078" name="Retângulo: Cantos Diagonais Arredondados 3077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>
        <a:xfrm>
          <a:off x="285749" y="171450"/>
          <a:ext cx="4486275" cy="1104900"/>
        </a:xfrm>
        <a:prstGeom prst="round2DiagRect">
          <a:avLst/>
        </a:prstGeom>
        <a:solidFill>
          <a:srgbClr val="D6A04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415738</xdr:colOff>
      <xdr:row>1</xdr:row>
      <xdr:rowOff>24093</xdr:rowOff>
    </xdr:from>
    <xdr:to>
      <xdr:col>5</xdr:col>
      <xdr:colOff>1603562</xdr:colOff>
      <xdr:row>6</xdr:row>
      <xdr:rowOff>147358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415738" y="214593"/>
          <a:ext cx="4249431" cy="1075765"/>
          <a:chOff x="4772025" y="57149"/>
          <a:chExt cx="3352800" cy="1075765"/>
        </a:xfrm>
      </xdr:grpSpPr>
      <xdr:sp macro="" textlink="'SYSTEM CONTROL'!M5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5295900" y="57149"/>
            <a:ext cx="2324100" cy="352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03D625A-CA39-4070-8021-33764641E93B}" type="TxLink">
              <a:rPr lang="en-US" sz="2000" b="1" i="0" u="none" strike="noStrike" baseline="0">
                <a:solidFill>
                  <a:schemeClr val="tx1">
                    <a:lumMod val="95000"/>
                    <a:lumOff val="5000"/>
                  </a:schemeClr>
                </a:solidFill>
                <a:latin typeface="Montserrat" panose="00000500000000000000" pitchFamily="2" charset="0"/>
                <a:cs typeface="Calibri"/>
              </a:rPr>
              <a:pPr algn="ctr"/>
              <a:t>PV - Diesel</a:t>
            </a:fld>
            <a:endParaRPr lang="pt-BR" sz="2000" b="1">
              <a:solidFill>
                <a:schemeClr val="tx1">
                  <a:lumMod val="95000"/>
                  <a:lumOff val="5000"/>
                </a:schemeClr>
              </a:solidFill>
              <a:latin typeface="Montserrat" panose="00000500000000000000" pitchFamily="2" charset="0"/>
            </a:endParaRPr>
          </a:p>
        </xdr:txBody>
      </xdr:sp>
      <xdr:sp macro="" textlink="'SYSTEM CONTROL'!M6">
        <xdr:nvSpPr>
          <xdr:cNvPr id="6" name="CaixaDeText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4772025" y="371474"/>
            <a:ext cx="3352800" cy="761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E841FA15-56A6-42FD-931A-12F4D21C2944}" type="TxLink">
              <a:rPr lang="en-US" sz="1400" b="0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w Cen MT" panose="020B0602020104020603" pitchFamily="34" charset="0"/>
                <a:cs typeface="Calibri"/>
              </a:rPr>
              <a:pPr algn="ctr"/>
              <a:t>Utilização de um sistema utilizando os geradores, sistema fotovoltaico, mas sem sistema de armazenamento.</a:t>
            </a:fld>
            <a:endParaRPr lang="pt-BR" sz="1400">
              <a:solidFill>
                <a:schemeClr val="tx1">
                  <a:lumMod val="85000"/>
                  <a:lumOff val="15000"/>
                </a:schemeClr>
              </a:solidFill>
              <a:latin typeface="Tw Cen MT" panose="020B0602020104020603" pitchFamily="34" charset="0"/>
            </a:endParaRPr>
          </a:p>
        </xdr:txBody>
      </xdr:sp>
    </xdr:grpSp>
    <xdr:clientData/>
  </xdr:twoCellAnchor>
  <xdr:twoCellAnchor>
    <xdr:from>
      <xdr:col>0</xdr:col>
      <xdr:colOff>104775</xdr:colOff>
      <xdr:row>14</xdr:row>
      <xdr:rowOff>71598</xdr:rowOff>
    </xdr:from>
    <xdr:to>
      <xdr:col>5</xdr:col>
      <xdr:colOff>1846209</xdr:colOff>
      <xdr:row>33</xdr:row>
      <xdr:rowOff>32419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GrpSpPr/>
      </xdr:nvGrpSpPr>
      <xdr:grpSpPr>
        <a:xfrm>
          <a:off x="104775" y="2738598"/>
          <a:ext cx="4803041" cy="3580321"/>
          <a:chOff x="47625" y="409575"/>
          <a:chExt cx="4883783" cy="3479884"/>
        </a:xfrm>
      </xdr:grpSpPr>
      <xdr:sp macro="" textlink="">
        <xdr:nvSpPr>
          <xdr:cNvPr id="9" name="Retângulo: Cantos Diagonais Arredondado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7625" y="409575"/>
            <a:ext cx="4883783" cy="3479884"/>
          </a:xfrm>
          <a:prstGeom prst="round2Diag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pSpPr/>
        </xdr:nvGrpSpPr>
        <xdr:grpSpPr>
          <a:xfrm>
            <a:off x="543753" y="1019175"/>
            <a:ext cx="4091544" cy="1374498"/>
            <a:chOff x="315567" y="4781550"/>
            <a:chExt cx="4091544" cy="1374498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9" name="Drop Down 7" hidden="1">
                  <a:extLst>
                    <a:ext uri="{63B3BB69-23CF-44E3-9099-C40C66FF867C}">
                      <a14:compatExt spid="_x0000_s3079"/>
                    </a:ext>
                    <a:ext uri="{FF2B5EF4-FFF2-40B4-BE49-F238E27FC236}">
                      <a16:creationId xmlns:a16="http://schemas.microsoft.com/office/drawing/2014/main" id="{00000000-0008-0000-0200-0000070C0000}"/>
                    </a:ext>
                  </a:extLst>
                </xdr:cNvPr>
                <xdr:cNvSpPr/>
              </xdr:nvSpPr>
              <xdr:spPr bwMode="auto">
                <a:xfrm>
                  <a:off x="2247900" y="4781550"/>
                  <a:ext cx="1219200" cy="200026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15" name="Retângulo: Cantos Diagonais Arredondados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/>
          </xdr:nvSpPr>
          <xdr:spPr>
            <a:xfrm>
              <a:off x="334617" y="5098772"/>
              <a:ext cx="1818861" cy="285751"/>
            </a:xfrm>
            <a:prstGeom prst="round2DiagRect">
              <a:avLst/>
            </a:prstGeom>
            <a:solidFill>
              <a:srgbClr val="297CD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>
                  <a:latin typeface="Montserrat" panose="00000800000000000000" pitchFamily="2" charset="0"/>
                </a:rPr>
                <a:t>Gerador</a:t>
              </a:r>
              <a:r>
                <a:rPr lang="pt-BR" sz="1100" baseline="0">
                  <a:latin typeface="Montserrat" panose="00000800000000000000" pitchFamily="2" charset="0"/>
                </a:rPr>
                <a:t> 1 (kW) = </a:t>
              </a:r>
              <a:endParaRPr lang="pt-BR" sz="1100">
                <a:latin typeface="Montserrat" panose="00000800000000000000" pitchFamily="2" charset="0"/>
              </a:endParaRPr>
            </a:p>
          </xdr:txBody>
        </xdr:sp>
        <xdr:sp macro="" textlink="'SYSTEM CONTROL'!N13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 txBox="1"/>
          </xdr:nvSpPr>
          <xdr:spPr>
            <a:xfrm>
              <a:off x="1661490" y="5098773"/>
              <a:ext cx="644544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8829449E-D6E5-4E44-865F-4F54776ABE0F}" type="TxLink">
                <a:rPr lang="en-US" sz="1100" b="0" i="0" u="none" strike="noStrike">
                  <a:solidFill>
                    <a:schemeClr val="bg1"/>
                  </a:solidFill>
                  <a:latin typeface="Montserrat" panose="00000500000000000000" pitchFamily="2" charset="0"/>
                  <a:cs typeface="Calibri"/>
                </a:rPr>
                <a:pPr/>
                <a:t>800</a:t>
              </a:fld>
              <a:endParaRPr lang="pt-BR" sz="1100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">
          <xdr:nvSpPr>
            <xdr:cNvPr id="20" name="Retângulo: Cantos Diagonais Arredondados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/>
          </xdr:nvSpPr>
          <xdr:spPr>
            <a:xfrm>
              <a:off x="2324928" y="5098772"/>
              <a:ext cx="1818033" cy="285751"/>
            </a:xfrm>
            <a:prstGeom prst="round2DiagRect">
              <a:avLst/>
            </a:prstGeom>
            <a:solidFill>
              <a:srgbClr val="297CD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>
                  <a:latin typeface="Montserrat" panose="00000800000000000000" pitchFamily="2" charset="0"/>
                </a:rPr>
                <a:t>Gerador</a:t>
              </a:r>
              <a:r>
                <a:rPr lang="pt-BR" sz="1100" baseline="0">
                  <a:latin typeface="Montserrat" panose="00000800000000000000" pitchFamily="2" charset="0"/>
                </a:rPr>
                <a:t> 2 (kW) = </a:t>
              </a:r>
              <a:endParaRPr lang="pt-BR" sz="1100">
                <a:latin typeface="Montserrat" panose="00000800000000000000" pitchFamily="2" charset="0"/>
              </a:endParaRPr>
            </a:p>
          </xdr:txBody>
        </xdr:sp>
        <xdr:sp macro="" textlink="'SYSTEM CONTROL'!O13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 txBox="1"/>
          </xdr:nvSpPr>
          <xdr:spPr>
            <a:xfrm>
              <a:off x="3651388" y="5098773"/>
              <a:ext cx="755723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5B94DA3B-DAFE-4D6C-9CD5-492B6E704B58}" type="TxLink">
                <a:rPr lang="en-US" sz="1100" b="0" i="0" u="none" strike="noStrike">
                  <a:solidFill>
                    <a:schemeClr val="bg1"/>
                  </a:solidFill>
                  <a:latin typeface="Montserrat" panose="00000500000000000000" pitchFamily="2" charset="0"/>
                  <a:cs typeface="Calibri"/>
                </a:rPr>
                <a:pPr/>
                <a:t>400</a:t>
              </a:fld>
              <a:endParaRPr lang="pt-BR" sz="1100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">
          <xdr:nvSpPr>
            <xdr:cNvPr id="24" name="Retângulo: Cantos Diagonais Arredondados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334617" y="5479772"/>
              <a:ext cx="1818861" cy="285751"/>
            </a:xfrm>
            <a:prstGeom prst="round2DiagRect">
              <a:avLst/>
            </a:prstGeom>
            <a:solidFill>
              <a:srgbClr val="297CD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>
                  <a:latin typeface="Montserrat" panose="00000800000000000000" pitchFamily="2" charset="0"/>
                </a:rPr>
                <a:t>Sistema FV</a:t>
              </a:r>
              <a:r>
                <a:rPr lang="pt-BR" sz="1100" baseline="0">
                  <a:latin typeface="Montserrat" panose="00000800000000000000" pitchFamily="2" charset="0"/>
                </a:rPr>
                <a:t>(kW) = </a:t>
              </a:r>
              <a:endParaRPr lang="pt-BR" sz="1100">
                <a:latin typeface="Montserrat" panose="00000800000000000000" pitchFamily="2" charset="0"/>
              </a:endParaRPr>
            </a:p>
          </xdr:txBody>
        </xdr:sp>
        <xdr:sp macro="" textlink="'SYSTEM CONTROL'!P13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 txBox="1"/>
          </xdr:nvSpPr>
          <xdr:spPr>
            <a:xfrm>
              <a:off x="1661490" y="5479773"/>
              <a:ext cx="625269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CF451169-7C65-4E3B-AFE1-A2F2F3E84AF3}" type="TxLink">
                <a:rPr lang="en-US" sz="1100" b="0" i="0" u="none" strike="noStrike">
                  <a:solidFill>
                    <a:schemeClr val="bg1"/>
                  </a:solidFill>
                  <a:latin typeface="Montserrat" panose="00000500000000000000" pitchFamily="2" charset="0"/>
                  <a:cs typeface="Calibri"/>
                </a:rPr>
                <a:pPr/>
                <a:t>-</a:t>
              </a:fld>
              <a:endParaRPr lang="pt-BR" sz="1100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">
          <xdr:nvSpPr>
            <xdr:cNvPr id="26" name="Retângulo: Cantos Diagonais Arredondados 25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/>
          </xdr:nvSpPr>
          <xdr:spPr>
            <a:xfrm>
              <a:off x="2324928" y="5479772"/>
              <a:ext cx="1818033" cy="285751"/>
            </a:xfrm>
            <a:prstGeom prst="round2DiagRect">
              <a:avLst/>
            </a:prstGeom>
            <a:solidFill>
              <a:srgbClr val="297CD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>
                  <a:latin typeface="Montserrat" panose="00000800000000000000" pitchFamily="2" charset="0"/>
                </a:rPr>
                <a:t>Conversor </a:t>
              </a:r>
              <a:r>
                <a:rPr lang="pt-BR" sz="1100" baseline="0">
                  <a:latin typeface="Montserrat" panose="00000800000000000000" pitchFamily="2" charset="0"/>
                </a:rPr>
                <a:t>(kW) = </a:t>
              </a:r>
              <a:endParaRPr lang="pt-BR" sz="1100">
                <a:latin typeface="Montserrat" panose="00000800000000000000" pitchFamily="2" charset="0"/>
              </a:endParaRPr>
            </a:p>
          </xdr:txBody>
        </xdr:sp>
        <xdr:sp macro="" textlink="'SYSTEM CONTROL'!Q13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 txBox="1"/>
          </xdr:nvSpPr>
          <xdr:spPr>
            <a:xfrm>
              <a:off x="3651388" y="5479773"/>
              <a:ext cx="707533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6401BBFA-8FDE-4CA3-9FAC-97B75D29D07B}" type="TxLink">
                <a:rPr lang="en-US" sz="1100" b="0" i="0" u="none" strike="noStrike">
                  <a:solidFill>
                    <a:schemeClr val="bg1"/>
                  </a:solidFill>
                  <a:latin typeface="Montserrat" panose="00000500000000000000" pitchFamily="2" charset="0"/>
                  <a:cs typeface="Calibri"/>
                </a:rPr>
                <a:pPr/>
                <a:t>-</a:t>
              </a:fld>
              <a:endParaRPr lang="pt-BR" sz="1100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">
          <xdr:nvSpPr>
            <xdr:cNvPr id="32" name="Retângulo: Cantos Diagonais Arredondados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315567" y="5870297"/>
              <a:ext cx="1818861" cy="285751"/>
            </a:xfrm>
            <a:prstGeom prst="round2DiagRect">
              <a:avLst/>
            </a:prstGeom>
            <a:solidFill>
              <a:srgbClr val="297CD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>
                  <a:latin typeface="Montserrat" panose="00000800000000000000" pitchFamily="2" charset="0"/>
                </a:rPr>
                <a:t>Baterias </a:t>
              </a:r>
              <a:r>
                <a:rPr lang="pt-BR" sz="1100" baseline="0">
                  <a:latin typeface="Montserrat" panose="00000800000000000000" pitchFamily="2" charset="0"/>
                </a:rPr>
                <a:t>(qtd) = </a:t>
              </a:r>
              <a:endParaRPr lang="pt-BR" sz="1100">
                <a:latin typeface="Montserrat" panose="00000800000000000000" pitchFamily="2" charset="0"/>
              </a:endParaRPr>
            </a:p>
          </xdr:txBody>
        </xdr:sp>
        <xdr:sp macro="" textlink="'SYSTEM CONTROL'!R13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 txBox="1"/>
          </xdr:nvSpPr>
          <xdr:spPr>
            <a:xfrm>
              <a:off x="1642441" y="5870298"/>
              <a:ext cx="557575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66C03478-2E19-482D-B056-73FA6A7A14BE}" type="TxLink">
                <a:rPr lang="en-US" sz="1100" b="0" i="0" u="none" strike="noStrike">
                  <a:solidFill>
                    <a:schemeClr val="bg1"/>
                  </a:solidFill>
                  <a:latin typeface="Montserrat" panose="00000500000000000000" pitchFamily="2" charset="0"/>
                  <a:cs typeface="Calibri"/>
                </a:rPr>
                <a:pPr/>
                <a:t>-</a:t>
              </a:fld>
              <a:endParaRPr lang="pt-BR" sz="1100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">
          <xdr:nvSpPr>
            <xdr:cNvPr id="34" name="Retângulo: Cantos Diagonais Arredondados 33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>
              <a:off x="2305878" y="5870297"/>
              <a:ext cx="1818033" cy="285751"/>
            </a:xfrm>
            <a:prstGeom prst="round2DiagRect">
              <a:avLst/>
            </a:prstGeom>
            <a:solidFill>
              <a:srgbClr val="297CD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>
                  <a:latin typeface="Montserrat" panose="00000800000000000000" pitchFamily="2" charset="0"/>
                </a:rPr>
                <a:t>Baterias </a:t>
              </a:r>
              <a:r>
                <a:rPr lang="pt-BR" sz="1100" baseline="0">
                  <a:latin typeface="Montserrat" panose="00000800000000000000" pitchFamily="2" charset="0"/>
                </a:rPr>
                <a:t>(kWh) = </a:t>
              </a:r>
              <a:endParaRPr lang="pt-BR" sz="1100">
                <a:latin typeface="Montserrat" panose="00000800000000000000" pitchFamily="2" charset="0"/>
              </a:endParaRPr>
            </a:p>
          </xdr:txBody>
        </xdr:sp>
        <xdr:sp macro="" textlink="'SYSTEM CONTROL'!S13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SpPr txBox="1"/>
          </xdr:nvSpPr>
          <xdr:spPr>
            <a:xfrm>
              <a:off x="3632338" y="5870298"/>
              <a:ext cx="774773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5D220C7B-E707-431E-BAB0-3CC7C98D01B6}" type="TxLink">
                <a:rPr lang="en-US" sz="1100" b="0" i="0" u="none" strike="noStrike">
                  <a:solidFill>
                    <a:schemeClr val="bg1"/>
                  </a:solidFill>
                  <a:latin typeface="Montserrat" panose="00000500000000000000" pitchFamily="2" charset="0"/>
                  <a:cs typeface="Calibri"/>
                </a:rPr>
                <a:pPr/>
                <a:t>-</a:t>
              </a:fld>
              <a:endParaRPr lang="pt-BR" sz="1100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">
          <xdr:nvSpPr>
            <xdr:cNvPr id="41" name="Retângulo 40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/>
          </xdr:nvSpPr>
          <xdr:spPr>
            <a:xfrm>
              <a:off x="985439" y="4782645"/>
              <a:ext cx="1257300" cy="204107"/>
            </a:xfrm>
            <a:prstGeom prst="rect">
              <a:avLst/>
            </a:prstGeom>
            <a:solidFill>
              <a:srgbClr val="1A4F8A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>
                  <a:latin typeface="Montserrat" panose="00000800000000000000" pitchFamily="2" charset="0"/>
                </a:rPr>
                <a:t>Parâmetros</a:t>
              </a:r>
            </a:p>
          </xdr:txBody>
        </xdr:sp>
      </xdr:grpSp>
      <xdr:grpSp>
        <xdr:nvGrpSpPr>
          <xdr:cNvPr id="8" name="Agrupar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156578" y="2571748"/>
            <a:ext cx="4758220" cy="993499"/>
            <a:chOff x="7775786" y="4791073"/>
            <a:chExt cx="4758220" cy="993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80" name="Drop Down 8" hidden="1">
                  <a:extLst>
                    <a:ext uri="{63B3BB69-23CF-44E3-9099-C40C66FF867C}">
                      <a14:compatExt spid="_x0000_s3080"/>
                    </a:ext>
                    <a:ext uri="{FF2B5EF4-FFF2-40B4-BE49-F238E27FC236}">
                      <a16:creationId xmlns:a16="http://schemas.microsoft.com/office/drawing/2014/main" id="{00000000-0008-0000-0200-0000080C0000}"/>
                    </a:ext>
                  </a:extLst>
                </xdr:cNvPr>
                <xdr:cNvSpPr/>
              </xdr:nvSpPr>
              <xdr:spPr bwMode="auto">
                <a:xfrm>
                  <a:off x="10086975" y="4791073"/>
                  <a:ext cx="1228725" cy="2000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42" name="Retângulo: Cantos Diagonais Arredondados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SpPr/>
          </xdr:nvSpPr>
          <xdr:spPr>
            <a:xfrm>
              <a:off x="7797734" y="5108297"/>
              <a:ext cx="1832869" cy="285751"/>
            </a:xfrm>
            <a:prstGeom prst="round2DiagRect">
              <a:avLst/>
            </a:prstGeom>
            <a:solidFill>
              <a:srgbClr val="D64D4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aseline="0">
                  <a:latin typeface="Montserrat" panose="00000800000000000000" pitchFamily="2" charset="0"/>
                </a:rPr>
                <a:t>Vida útil = </a:t>
              </a:r>
              <a:endParaRPr lang="pt-BR" sz="1100">
                <a:latin typeface="Montserrat" panose="00000800000000000000" pitchFamily="2" charset="0"/>
              </a:endParaRPr>
            </a:p>
          </xdr:txBody>
        </xdr:sp>
        <xdr:sp macro="" textlink="'SYSTEM CONTROL'!B6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SpPr txBox="1"/>
          </xdr:nvSpPr>
          <xdr:spPr>
            <a:xfrm>
              <a:off x="8557590" y="5108298"/>
              <a:ext cx="1219956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7C3521E3-C30F-46A7-9DF4-38D61D4D0154}" type="TxLink">
                <a:rPr lang="en-US" sz="1100" b="0" i="0" u="none" strike="noStrike">
                  <a:solidFill>
                    <a:schemeClr val="bg1"/>
                  </a:solidFill>
                  <a:latin typeface="Montserrat" panose="00000500000000000000" pitchFamily="2" charset="0"/>
                  <a:cs typeface="Calibri"/>
                </a:rPr>
                <a:pPr/>
                <a:t>30 anos</a:t>
              </a:fld>
              <a:endParaRPr lang="pt-BR" sz="1100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">
          <xdr:nvSpPr>
            <xdr:cNvPr id="44" name="Retângulo: Cantos Diagonais Arredondados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SpPr/>
          </xdr:nvSpPr>
          <xdr:spPr>
            <a:xfrm>
              <a:off x="9802052" y="5108297"/>
              <a:ext cx="2541520" cy="285751"/>
            </a:xfrm>
            <a:prstGeom prst="round2DiagRect">
              <a:avLst/>
            </a:prstGeom>
            <a:solidFill>
              <a:srgbClr val="D64D4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>
                  <a:latin typeface="Montserrat" panose="00000800000000000000" pitchFamily="2" charset="0"/>
                </a:rPr>
                <a:t>Substituição </a:t>
              </a:r>
              <a:r>
                <a:rPr lang="pt-BR" sz="1100" baseline="0">
                  <a:latin typeface="Montserrat" panose="00000800000000000000" pitchFamily="2" charset="0"/>
                </a:rPr>
                <a:t>= </a:t>
              </a:r>
              <a:endParaRPr lang="pt-BR" sz="1100">
                <a:latin typeface="Montserrat" panose="00000800000000000000" pitchFamily="2" charset="0"/>
              </a:endParaRPr>
            </a:p>
          </xdr:txBody>
        </xdr:sp>
        <xdr:sp macro="" textlink="'SYSTEM CONTROL'!D6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 txBox="1"/>
          </xdr:nvSpPr>
          <xdr:spPr>
            <a:xfrm>
              <a:off x="10856769" y="5108298"/>
              <a:ext cx="1677237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F7CFF0D5-D63D-4DAF-AFAE-5588327FF4BC}" type="TxLink">
                <a:rPr lang="en-US" sz="1100" b="0" i="0" u="none" strike="noStrike">
                  <a:solidFill>
                    <a:schemeClr val="bg1"/>
                  </a:solidFill>
                  <a:latin typeface="Montserrat" panose="00000500000000000000" pitchFamily="2" charset="0"/>
                  <a:cs typeface="Calibri"/>
                </a:rPr>
                <a:pPr/>
                <a:t>C$ 7000,00/bateria</a:t>
              </a:fld>
              <a:endParaRPr lang="pt-BR" sz="1100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">
          <xdr:nvSpPr>
            <xdr:cNvPr id="46" name="Retângulo: Cantos Diagonais Arredondados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/>
          </xdr:nvSpPr>
          <xdr:spPr>
            <a:xfrm>
              <a:off x="9799981" y="5489297"/>
              <a:ext cx="2551872" cy="285751"/>
            </a:xfrm>
            <a:prstGeom prst="round2DiagRect">
              <a:avLst/>
            </a:prstGeom>
            <a:solidFill>
              <a:srgbClr val="D64D4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aseline="0">
                  <a:latin typeface="Montserrat" panose="00000800000000000000" pitchFamily="2" charset="0"/>
                </a:rPr>
                <a:t>Custo inicial = </a:t>
              </a:r>
              <a:endParaRPr lang="pt-BR" sz="1100">
                <a:latin typeface="Montserrat" panose="00000800000000000000" pitchFamily="2" charset="0"/>
              </a:endParaRPr>
            </a:p>
          </xdr:txBody>
        </xdr:sp>
        <xdr:sp macro="" textlink="'SYSTEM CONTROL'!C6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 txBox="1"/>
          </xdr:nvSpPr>
          <xdr:spPr>
            <a:xfrm>
              <a:off x="10839789" y="5489298"/>
              <a:ext cx="1646027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F2679224-8BEE-4F68-A28E-DEA442E485E9}" type="TxLink">
                <a:rPr lang="en-US" sz="1100" b="0" i="0" u="none" strike="noStrike">
                  <a:solidFill>
                    <a:schemeClr val="bg1"/>
                  </a:solidFill>
                  <a:latin typeface="Montserrat" panose="00000500000000000000" pitchFamily="2" charset="0"/>
                  <a:cs typeface="Calibri"/>
                </a:rPr>
                <a:pPr/>
                <a:t>C$ 7000,00/bateria</a:t>
              </a:fld>
              <a:endParaRPr lang="pt-BR" sz="1100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">
          <xdr:nvSpPr>
            <xdr:cNvPr id="48" name="Retângulo: Cantos Diagonais Arredondados 47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SpPr/>
          </xdr:nvSpPr>
          <xdr:spPr>
            <a:xfrm>
              <a:off x="7775786" y="5498821"/>
              <a:ext cx="1832041" cy="285751"/>
            </a:xfrm>
            <a:prstGeom prst="round2DiagRect">
              <a:avLst/>
            </a:prstGeom>
            <a:solidFill>
              <a:srgbClr val="D64D4B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>
                  <a:latin typeface="Montserrat" panose="00000800000000000000" pitchFamily="2" charset="0"/>
                </a:rPr>
                <a:t>O&amp;M </a:t>
              </a:r>
              <a:r>
                <a:rPr lang="pt-BR" sz="1100" baseline="0">
                  <a:latin typeface="Montserrat" panose="00000800000000000000" pitchFamily="2" charset="0"/>
                </a:rPr>
                <a:t>= </a:t>
              </a:r>
              <a:endParaRPr lang="pt-BR" sz="1100">
                <a:latin typeface="Montserrat" panose="00000800000000000000" pitchFamily="2" charset="0"/>
              </a:endParaRPr>
            </a:p>
          </xdr:txBody>
        </xdr:sp>
        <xdr:sp macro="" textlink="'SYSTEM CONTROL'!E6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00000000-0008-0000-0200-000031000000}"/>
                </a:ext>
              </a:extLst>
            </xdr:cNvPr>
            <xdr:cNvSpPr txBox="1"/>
          </xdr:nvSpPr>
          <xdr:spPr>
            <a:xfrm>
              <a:off x="8306629" y="5498822"/>
              <a:ext cx="1432367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AA94FC65-F02B-4B84-A484-8EDCFC79CCB6}" type="TxLink">
                <a:rPr lang="en-US" sz="1100" b="0" i="0" u="none" strike="noStrike">
                  <a:solidFill>
                    <a:schemeClr val="bg1"/>
                  </a:solidFill>
                  <a:latin typeface="Montserrat" panose="00000500000000000000" pitchFamily="2" charset="0"/>
                  <a:cs typeface="Calibri"/>
                </a:rPr>
                <a:pPr/>
                <a:t>C$ 10,00/ano</a:t>
              </a:fld>
              <a:endParaRPr lang="pt-BR" sz="1100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">
          <xdr:nvSpPr>
            <xdr:cNvPr id="54" name="Retângulo 53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:cNvPr>
            <xdr:cNvSpPr/>
          </xdr:nvSpPr>
          <xdr:spPr>
            <a:xfrm>
              <a:off x="8813674" y="4792170"/>
              <a:ext cx="1266826" cy="204107"/>
            </a:xfrm>
            <a:prstGeom prst="rect">
              <a:avLst/>
            </a:prstGeom>
            <a:solidFill>
              <a:srgbClr val="992623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>
                  <a:latin typeface="Montserrat" panose="00000800000000000000" pitchFamily="2" charset="0"/>
                </a:rPr>
                <a:t>Elementos</a:t>
              </a:r>
            </a:p>
          </xdr:txBody>
        </xdr:sp>
      </xdr:grpSp>
      <xdr:sp macro="" textlink="">
        <xdr:nvSpPr>
          <xdr:cNvPr id="11" name="Retângulo: Cantos Diagonais Arredondados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733425" y="533399"/>
            <a:ext cx="3505200" cy="333375"/>
          </a:xfrm>
          <a:prstGeom prst="round2Diag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>
                    <a:lumMod val="85000"/>
                  </a:schemeClr>
                </a:solidFill>
                <a:latin typeface="Montserrat" panose="00000500000000000000" pitchFamily="2" charset="0"/>
              </a:rPr>
              <a:t>Parâmetros de Entrada</a:t>
            </a:r>
          </a:p>
        </xdr:txBody>
      </xdr:sp>
    </xdr:grpSp>
    <xdr:clientData/>
  </xdr:twoCellAnchor>
  <xdr:twoCellAnchor>
    <xdr:from>
      <xdr:col>5</xdr:col>
      <xdr:colOff>361950</xdr:colOff>
      <xdr:row>7</xdr:row>
      <xdr:rowOff>76200</xdr:rowOff>
    </xdr:from>
    <xdr:to>
      <xdr:col>5</xdr:col>
      <xdr:colOff>1743075</xdr:colOff>
      <xdr:row>12</xdr:row>
      <xdr:rowOff>66675</xdr:rowOff>
    </xdr:to>
    <xdr:grpSp>
      <xdr:nvGrpSpPr>
        <xdr:cNvPr id="3073" name="Agrupar 3072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GrpSpPr/>
      </xdr:nvGrpSpPr>
      <xdr:grpSpPr>
        <a:xfrm>
          <a:off x="3423557" y="1409700"/>
          <a:ext cx="1381125" cy="942975"/>
          <a:chOff x="2705100" y="1219200"/>
          <a:chExt cx="1381125" cy="942975"/>
        </a:xfrm>
      </xdr:grpSpPr>
      <xdr:sp macro="" textlink="">
        <xdr:nvSpPr>
          <xdr:cNvPr id="3072" name="Retângulo: Cantos Diagonais Arredondados 3071">
            <a:extLst>
              <a:ext uri="{FF2B5EF4-FFF2-40B4-BE49-F238E27FC236}">
                <a16:creationId xmlns:a16="http://schemas.microsoft.com/office/drawing/2014/main" id="{00000000-0008-0000-0200-0000000C0000}"/>
              </a:ext>
            </a:extLst>
          </xdr:cNvPr>
          <xdr:cNvSpPr/>
        </xdr:nvSpPr>
        <xdr:spPr>
          <a:xfrm>
            <a:off x="2705100" y="1228725"/>
            <a:ext cx="1381125" cy="933450"/>
          </a:xfrm>
          <a:prstGeom prst="round2DiagRect">
            <a:avLst/>
          </a:prstGeom>
          <a:solidFill>
            <a:srgbClr val="2BD6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2" name="Option Button 10" hidden="1">
                <a:extLst>
                  <a:ext uri="{63B3BB69-23CF-44E3-9099-C40C66FF867C}">
                    <a14:compatExt spid="_x0000_s3082"/>
                  </a:ext>
                  <a:ext uri="{FF2B5EF4-FFF2-40B4-BE49-F238E27FC236}">
                    <a16:creationId xmlns:a16="http://schemas.microsoft.com/office/drawing/2014/main" id="{00000000-0008-0000-0200-00000A0C0000}"/>
                  </a:ext>
                </a:extLst>
              </xdr:cNvPr>
              <xdr:cNvSpPr/>
            </xdr:nvSpPr>
            <xdr:spPr bwMode="auto">
              <a:xfrm>
                <a:off x="2809875" y="1219200"/>
                <a:ext cx="1057275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PV Diesel Battery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4" name="Option Button 12" hidden="1">
                <a:extLst>
                  <a:ext uri="{63B3BB69-23CF-44E3-9099-C40C66FF867C}">
                    <a14:compatExt spid="_x0000_s3084"/>
                  </a:ext>
                  <a:ext uri="{FF2B5EF4-FFF2-40B4-BE49-F238E27FC236}">
                    <a16:creationId xmlns:a16="http://schemas.microsoft.com/office/drawing/2014/main" id="{00000000-0008-0000-0200-00000C0C0000}"/>
                  </a:ext>
                </a:extLst>
              </xdr:cNvPr>
              <xdr:cNvSpPr/>
            </xdr:nvSpPr>
            <xdr:spPr bwMode="auto">
              <a:xfrm>
                <a:off x="2809875" y="1476375"/>
                <a:ext cx="1057275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PV Diesel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5" name="Option Button 13" hidden="1">
                <a:extLst>
                  <a:ext uri="{63B3BB69-23CF-44E3-9099-C40C66FF867C}">
                    <a14:compatExt spid="_x0000_s3085"/>
                  </a:ext>
                  <a:ext uri="{FF2B5EF4-FFF2-40B4-BE49-F238E27FC236}">
                    <a16:creationId xmlns:a16="http://schemas.microsoft.com/office/drawing/2014/main" id="{00000000-0008-0000-0200-00000D0C0000}"/>
                  </a:ext>
                </a:extLst>
              </xdr:cNvPr>
              <xdr:cNvSpPr/>
            </xdr:nvSpPr>
            <xdr:spPr bwMode="auto">
              <a:xfrm>
                <a:off x="2809875" y="1743075"/>
                <a:ext cx="1057275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Diesel Battery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0</xdr:col>
      <xdr:colOff>276225</xdr:colOff>
      <xdr:row>7</xdr:row>
      <xdr:rowOff>85723</xdr:rowOff>
    </xdr:from>
    <xdr:to>
      <xdr:col>5</xdr:col>
      <xdr:colOff>238125</xdr:colOff>
      <xdr:row>12</xdr:row>
      <xdr:rowOff>114300</xdr:rowOff>
    </xdr:to>
    <xdr:grpSp>
      <xdr:nvGrpSpPr>
        <xdr:cNvPr id="3076" name="Agrupar 3075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GrpSpPr/>
      </xdr:nvGrpSpPr>
      <xdr:grpSpPr>
        <a:xfrm>
          <a:off x="276225" y="1419223"/>
          <a:ext cx="3023507" cy="981077"/>
          <a:chOff x="352425" y="1247773"/>
          <a:chExt cx="2809875" cy="981077"/>
        </a:xfrm>
      </xdr:grpSpPr>
      <xdr:sp macro="" textlink="">
        <xdr:nvSpPr>
          <xdr:cNvPr id="3074" name="Retângulo: Cantos Diagonais Arredondados 3073">
            <a:extLst>
              <a:ext uri="{FF2B5EF4-FFF2-40B4-BE49-F238E27FC236}">
                <a16:creationId xmlns:a16="http://schemas.microsoft.com/office/drawing/2014/main" id="{00000000-0008-0000-0200-0000020C0000}"/>
              </a:ext>
            </a:extLst>
          </xdr:cNvPr>
          <xdr:cNvSpPr/>
        </xdr:nvSpPr>
        <xdr:spPr>
          <a:xfrm>
            <a:off x="366464" y="1247773"/>
            <a:ext cx="2795836" cy="932400"/>
          </a:xfrm>
          <a:prstGeom prst="round2DiagRect">
            <a:avLst/>
          </a:prstGeom>
          <a:solidFill>
            <a:srgbClr val="2BD6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tx1"/>
                </a:solidFill>
                <a:latin typeface="Montserrat" panose="00000500000000000000" pitchFamily="2" charset="0"/>
              </a:rPr>
              <a:t>Seletor</a:t>
            </a:r>
            <a:r>
              <a:rPr lang="pt-BR" sz="1100" b="1" baseline="0">
                <a:solidFill>
                  <a:schemeClr val="tx1"/>
                </a:solidFill>
                <a:latin typeface="Montserrat" panose="00000500000000000000" pitchFamily="2" charset="0"/>
              </a:rPr>
              <a:t> de configuração do sistema</a:t>
            </a:r>
          </a:p>
        </xdr:txBody>
      </xdr:sp>
      <xdr:sp macro="" textlink="">
        <xdr:nvSpPr>
          <xdr:cNvPr id="3075" name="CaixaDeTexto 3074">
            <a:extLst>
              <a:ext uri="{FF2B5EF4-FFF2-40B4-BE49-F238E27FC236}">
                <a16:creationId xmlns:a16="http://schemas.microsoft.com/office/drawing/2014/main" id="{00000000-0008-0000-0200-0000030C0000}"/>
              </a:ext>
            </a:extLst>
          </xdr:cNvPr>
          <xdr:cNvSpPr txBox="1"/>
        </xdr:nvSpPr>
        <xdr:spPr>
          <a:xfrm>
            <a:off x="352425" y="1504950"/>
            <a:ext cx="2809875" cy="723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>
                <a:solidFill>
                  <a:schemeClr val="tx1">
                    <a:lumMod val="85000"/>
                    <a:lumOff val="15000"/>
                  </a:schemeClr>
                </a:solidFill>
                <a:latin typeface="Tw Cen MT" panose="020B0602020104020603" pitchFamily="34" charset="0"/>
              </a:rPr>
              <a:t>Escolha</a:t>
            </a:r>
            <a:r>
              <a:rPr lang="pt-BR" sz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Tw Cen MT" panose="020B0602020104020603" pitchFamily="34" charset="0"/>
              </a:rPr>
              <a:t> do arranjo do sistema e visualização dos três cenários + cenário base possíveis para cada arranjo</a:t>
            </a:r>
            <a:endParaRPr lang="pt-BR" sz="1200">
              <a:solidFill>
                <a:schemeClr val="tx1">
                  <a:lumMod val="85000"/>
                  <a:lumOff val="15000"/>
                </a:schemeClr>
              </a:solidFill>
              <a:latin typeface="Tw Cen MT" panose="020B0602020104020603" pitchFamily="34" charset="0"/>
            </a:endParaRPr>
          </a:p>
        </xdr:txBody>
      </xdr:sp>
    </xdr:grpSp>
    <xdr:clientData/>
  </xdr:twoCellAnchor>
  <xdr:twoCellAnchor>
    <xdr:from>
      <xdr:col>5</xdr:col>
      <xdr:colOff>2152650</xdr:colOff>
      <xdr:row>0</xdr:row>
      <xdr:rowOff>85725</xdr:rowOff>
    </xdr:from>
    <xdr:to>
      <xdr:col>16</xdr:col>
      <xdr:colOff>238125</xdr:colOff>
      <xdr:row>33</xdr:row>
      <xdr:rowOff>38100</xdr:rowOff>
    </xdr:to>
    <xdr:grpSp>
      <xdr:nvGrpSpPr>
        <xdr:cNvPr id="3092" name="Agrupar 3091">
          <a:extLst>
            <a:ext uri="{FF2B5EF4-FFF2-40B4-BE49-F238E27FC236}">
              <a16:creationId xmlns:a16="http://schemas.microsoft.com/office/drawing/2014/main" id="{00000000-0008-0000-0200-0000140C0000}"/>
            </a:ext>
          </a:extLst>
        </xdr:cNvPr>
        <xdr:cNvGrpSpPr/>
      </xdr:nvGrpSpPr>
      <xdr:grpSpPr>
        <a:xfrm>
          <a:off x="5214257" y="85725"/>
          <a:ext cx="7501618" cy="6238875"/>
          <a:chOff x="5086350" y="85725"/>
          <a:chExt cx="7477125" cy="6238875"/>
        </a:xfrm>
      </xdr:grpSpPr>
      <xdr:sp macro="" textlink="">
        <xdr:nvSpPr>
          <xdr:cNvPr id="3081" name="Retângulo: Cantos Diagonais Arredondados 3080">
            <a:extLst>
              <a:ext uri="{FF2B5EF4-FFF2-40B4-BE49-F238E27FC236}">
                <a16:creationId xmlns:a16="http://schemas.microsoft.com/office/drawing/2014/main" id="{00000000-0008-0000-0200-0000090C0000}"/>
              </a:ext>
            </a:extLst>
          </xdr:cNvPr>
          <xdr:cNvSpPr/>
        </xdr:nvSpPr>
        <xdr:spPr>
          <a:xfrm>
            <a:off x="5086350" y="85725"/>
            <a:ext cx="7477125" cy="6238875"/>
          </a:xfrm>
          <a:prstGeom prst="round2Diag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GraphicFramePr>
            <a:graphicFrameLocks/>
          </xdr:cNvGraphicFramePr>
        </xdr:nvGraphicFramePr>
        <xdr:xfrm>
          <a:off x="8858249" y="4087911"/>
          <a:ext cx="3466800" cy="202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Gráfico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GraphicFramePr>
            <a:graphicFrameLocks/>
          </xdr:cNvGraphicFramePr>
        </xdr:nvGraphicFramePr>
        <xdr:xfrm>
          <a:off x="8858249" y="95249"/>
          <a:ext cx="3466800" cy="202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aphicFramePr>
            <a:graphicFrameLocks/>
          </xdr:cNvGraphicFramePr>
        </xdr:nvGraphicFramePr>
        <xdr:xfrm>
          <a:off x="8858249" y="2036014"/>
          <a:ext cx="3466800" cy="202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6" name="Gráfico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GraphicFramePr>
            <a:graphicFrameLocks/>
          </xdr:cNvGraphicFramePr>
        </xdr:nvGraphicFramePr>
        <xdr:xfrm>
          <a:off x="5238751" y="2036014"/>
          <a:ext cx="3466800" cy="202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áfico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GraphicFramePr>
            <a:graphicFrameLocks/>
          </xdr:cNvGraphicFramePr>
        </xdr:nvGraphicFramePr>
        <xdr:xfrm>
          <a:off x="5248275" y="4087913"/>
          <a:ext cx="3467100" cy="2023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3091" name="Agrupar 3090">
            <a:extLst>
              <a:ext uri="{FF2B5EF4-FFF2-40B4-BE49-F238E27FC236}">
                <a16:creationId xmlns:a16="http://schemas.microsoft.com/office/drawing/2014/main" id="{00000000-0008-0000-0200-0000130C0000}"/>
              </a:ext>
            </a:extLst>
          </xdr:cNvPr>
          <xdr:cNvGrpSpPr/>
        </xdr:nvGrpSpPr>
        <xdr:grpSpPr>
          <a:xfrm>
            <a:off x="5534025" y="390524"/>
            <a:ext cx="3038474" cy="1457326"/>
            <a:chOff x="5562600" y="380999"/>
            <a:chExt cx="3038474" cy="1457326"/>
          </a:xfrm>
        </xdr:grpSpPr>
        <xdr:sp macro="" textlink="">
          <xdr:nvSpPr>
            <xdr:cNvPr id="3083" name="Retângulo: Cantos Diagonais Arredondados 3082">
              <a:extLs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>
            <a:xfrm>
              <a:off x="5562600" y="400051"/>
              <a:ext cx="3038474" cy="1438274"/>
            </a:xfrm>
            <a:prstGeom prst="round2DiagRect">
              <a:avLst/>
            </a:prstGeom>
            <a:solidFill>
              <a:srgbClr val="D6D63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3088" name="Agrupar 3087">
              <a:extLs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GrpSpPr/>
          </xdr:nvGrpSpPr>
          <xdr:grpSpPr>
            <a:xfrm>
              <a:off x="5581650" y="380999"/>
              <a:ext cx="3009899" cy="1419227"/>
              <a:chOff x="4772024" y="57149"/>
              <a:chExt cx="3451091" cy="995583"/>
            </a:xfrm>
          </xdr:grpSpPr>
          <xdr:sp macro="" textlink="'SYSTEM CONTROL'!M5">
            <xdr:nvSpPr>
              <xdr:cNvPr id="3089" name="CaixaDeTexto 3088">
                <a:extLst>
                  <a:ext uri="{FF2B5EF4-FFF2-40B4-BE49-F238E27FC236}">
                    <a16:creationId xmlns:a16="http://schemas.microsoft.com/office/drawing/2014/main" id="{00000000-0008-0000-0200-0000110C0000}"/>
                  </a:ext>
                </a:extLst>
              </xdr:cNvPr>
              <xdr:cNvSpPr txBox="1"/>
            </xdr:nvSpPr>
            <xdr:spPr>
              <a:xfrm>
                <a:off x="5295900" y="57149"/>
                <a:ext cx="2324100" cy="3524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2000" b="1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Montserrat" panose="00000500000000000000" pitchFamily="2" charset="0"/>
                  </a:rPr>
                  <a:t>Resultados</a:t>
                </a:r>
              </a:p>
            </xdr:txBody>
          </xdr:sp>
          <xdr:sp macro="" textlink="'SYSTEM CONTROL'!M6">
            <xdr:nvSpPr>
              <xdr:cNvPr id="3090" name="CaixaDeTexto 3089">
                <a:extLst>
                  <a:ext uri="{FF2B5EF4-FFF2-40B4-BE49-F238E27FC236}">
                    <a16:creationId xmlns:a16="http://schemas.microsoft.com/office/drawing/2014/main" id="{00000000-0008-0000-0200-0000120C0000}"/>
                  </a:ext>
                </a:extLst>
              </xdr:cNvPr>
              <xdr:cNvSpPr txBox="1"/>
            </xdr:nvSpPr>
            <xdr:spPr>
              <a:xfrm>
                <a:off x="4772024" y="297973"/>
                <a:ext cx="3451091" cy="75475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40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Tw Cen MT" panose="020B0602020104020603" pitchFamily="34" charset="0"/>
                  </a:rPr>
                  <a:t>Apresentação</a:t>
                </a:r>
                <a:r>
                  <a:rPr lang="pt-BR" sz="14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Tw Cen MT" panose="020B0602020104020603" pitchFamily="34" charset="0"/>
                  </a:rPr>
                  <a:t> dos resultados econômicos e energéticos dos cenários, mostrando o comparativo dos resultados obtidos com os resultados apresentados no artigo</a:t>
                </a:r>
                <a:endParaRPr lang="pt-BR" sz="1400">
                  <a:solidFill>
                    <a:schemeClr val="tx1">
                      <a:lumMod val="85000"/>
                      <a:lumOff val="15000"/>
                    </a:schemeClr>
                  </a:solidFill>
                  <a:latin typeface="Tw Cen MT" panose="020B0602020104020603" pitchFamily="34" charset="0"/>
                </a:endParaRPr>
              </a:p>
            </xdr:txBody>
          </xdr:sp>
        </xdr:grpSp>
      </xdr:grp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37E54A-0552-42FA-967F-4B1FA614CEFF}" name="Cenários_battery_diesel" displayName="Cenários_battery_diesel" ref="A28:C33" totalsRowShown="0" headerRowDxfId="4" dataDxfId="3">
  <autoFilter ref="A28:C33" xr:uid="{5937E54A-0552-42FA-967F-4B1FA614CEFF}"/>
  <tableColumns count="3">
    <tableColumn id="1" xr3:uid="{8775F722-97E4-4533-88A8-B50FA254EF64}" name="Componentes" dataDxfId="2"/>
    <tableColumn id="2" xr3:uid="{B7D1C18C-C2BD-4442-96A2-FD2A627A84E9}" name="Caso Base" dataDxfId="1"/>
    <tableColumn id="3" xr3:uid="{5840EA20-C9D6-4CBF-B85C-99B72E719A16}" name="Cenário 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5752C-CED8-4D60-B171-AACA915FAE5F}">
  <sheetPr codeName="Planilha1"/>
  <dimension ref="A1"/>
  <sheetViews>
    <sheetView showGridLines="0" zoomScaleNormal="100" workbookViewId="0">
      <selection activeCell="J15" sqref="J15"/>
    </sheetView>
  </sheetViews>
  <sheetFormatPr defaultRowHeight="15" x14ac:dyDescent="0.25"/>
  <cols>
    <col min="6" max="6" width="41" customWidth="1"/>
    <col min="7" max="7" width="17.5703125" bestFit="1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3324E-1968-40E2-8E82-599E4D6CA008}">
  <sheetPr codeName="Planilha2"/>
  <dimension ref="A1"/>
  <sheetViews>
    <sheetView showGridLines="0" topLeftCell="A16" zoomScaleNormal="100" workbookViewId="0">
      <selection activeCell="C5" sqref="C5"/>
    </sheetView>
  </sheetViews>
  <sheetFormatPr defaultRowHeight="15" x14ac:dyDescent="0.25"/>
  <cols>
    <col min="6" max="6" width="41" customWidth="1"/>
    <col min="7" max="7" width="17.5703125" bestFit="1" customWidth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6F9CE-6E48-4571-8C31-9B5F1BF2B411}">
  <sheetPr codeName="Planilha3"/>
  <dimension ref="A1:T34"/>
  <sheetViews>
    <sheetView showGridLines="0" showRowColHeaders="0" tabSelected="1" view="pageBreakPreview" zoomScale="70" zoomScaleNormal="55" zoomScaleSheetLayoutView="70" workbookViewId="0">
      <selection activeCell="U7" sqref="U7"/>
    </sheetView>
  </sheetViews>
  <sheetFormatPr defaultRowHeight="15" x14ac:dyDescent="0.25"/>
  <cols>
    <col min="4" max="4" width="9.140625" customWidth="1"/>
    <col min="6" max="6" width="41" customWidth="1"/>
    <col min="7" max="7" width="17.5703125" bestFit="1" customWidth="1"/>
  </cols>
  <sheetData>
    <row r="1" spans="1:17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</row>
    <row r="3" spans="1:17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</row>
    <row r="4" spans="1:17" x14ac:dyDescent="0.2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</row>
    <row r="5" spans="1:17" x14ac:dyDescent="0.25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17" x14ac:dyDescent="0.25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</row>
    <row r="7" spans="1:17" x14ac:dyDescent="0.2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</row>
    <row r="8" spans="1:17" x14ac:dyDescent="0.25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</row>
    <row r="9" spans="1:17" x14ac:dyDescent="0.25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</row>
    <row r="10" spans="1:17" x14ac:dyDescent="0.25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</row>
    <row r="11" spans="1:17" x14ac:dyDescent="0.25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</row>
    <row r="12" spans="1:17" x14ac:dyDescent="0.2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</row>
    <row r="13" spans="1:17" x14ac:dyDescent="0.25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</row>
    <row r="14" spans="1:17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</row>
    <row r="15" spans="1:17" x14ac:dyDescent="0.25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</row>
    <row r="16" spans="1:17" x14ac:dyDescent="0.25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</row>
    <row r="17" spans="1:17" x14ac:dyDescent="0.25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</row>
    <row r="18" spans="1:17" x14ac:dyDescent="0.25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</row>
    <row r="19" spans="1:17" x14ac:dyDescent="0.2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</row>
    <row r="20" spans="1:17" x14ac:dyDescent="0.2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</row>
    <row r="21" spans="1:17" x14ac:dyDescent="0.2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</row>
    <row r="22" spans="1:17" x14ac:dyDescent="0.2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</row>
    <row r="23" spans="1:17" x14ac:dyDescent="0.25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</row>
    <row r="24" spans="1:17" x14ac:dyDescent="0.2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</row>
    <row r="25" spans="1:17" x14ac:dyDescent="0.2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</row>
    <row r="26" spans="1:17" x14ac:dyDescent="0.2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</row>
    <row r="27" spans="1:17" x14ac:dyDescent="0.25">
      <c r="A27" s="23"/>
      <c r="B27" s="24"/>
      <c r="C27" s="24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</row>
    <row r="28" spans="1:17" x14ac:dyDescent="0.25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</row>
    <row r="29" spans="1:17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</row>
    <row r="30" spans="1:17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</row>
    <row r="31" spans="1:17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</row>
    <row r="32" spans="1:17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</row>
    <row r="33" spans="1:20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</row>
    <row r="34" spans="1:20" x14ac:dyDescent="0.2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</row>
  </sheetData>
  <sheetProtection selectLockedCells="1" selectUnlockedCells="1"/>
  <mergeCells count="1">
    <mergeCell ref="B27:C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4</xdr:col>
                    <xdr:colOff>47625</xdr:colOff>
                    <xdr:row>17</xdr:row>
                    <xdr:rowOff>123825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Drop Down 8">
              <controlPr defaultSize="0" autoLine="0" autoPict="0">
                <anchor moveWithCells="1">
                  <from>
                    <xdr:col>4</xdr:col>
                    <xdr:colOff>38100</xdr:colOff>
                    <xdr:row>26</xdr:row>
                    <xdr:rowOff>9525</xdr:rowOff>
                  </from>
                  <to>
                    <xdr:col>5</xdr:col>
                    <xdr:colOff>628650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Option Button 10">
              <controlPr defaultSize="0" autoFill="0" autoLine="0" autoPict="0">
                <anchor moveWithCells="1">
                  <from>
                    <xdr:col>5</xdr:col>
                    <xdr:colOff>466725</xdr:colOff>
                    <xdr:row>7</xdr:row>
                    <xdr:rowOff>76200</xdr:rowOff>
                  </from>
                  <to>
                    <xdr:col>5</xdr:col>
                    <xdr:colOff>1524000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Option Button 12">
              <controlPr defaultSize="0" autoFill="0" autoLine="0" autoPict="0">
                <anchor moveWithCells="1">
                  <from>
                    <xdr:col>5</xdr:col>
                    <xdr:colOff>466725</xdr:colOff>
                    <xdr:row>8</xdr:row>
                    <xdr:rowOff>142875</xdr:rowOff>
                  </from>
                  <to>
                    <xdr:col>5</xdr:col>
                    <xdr:colOff>1524000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8" name="Option Button 13">
              <controlPr defaultSize="0" autoFill="0" autoLine="0" autoPict="0">
                <anchor moveWithCells="1">
                  <from>
                    <xdr:col>5</xdr:col>
                    <xdr:colOff>466725</xdr:colOff>
                    <xdr:row>10</xdr:row>
                    <xdr:rowOff>28575</xdr:rowOff>
                  </from>
                  <to>
                    <xdr:col>5</xdr:col>
                    <xdr:colOff>1524000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8E555-85C2-4D35-9617-4D52711143A1}">
  <dimension ref="A1:T27"/>
  <sheetViews>
    <sheetView workbookViewId="0">
      <selection activeCell="J3" sqref="J3"/>
    </sheetView>
  </sheetViews>
  <sheetFormatPr defaultRowHeight="15" x14ac:dyDescent="0.25"/>
  <cols>
    <col min="1" max="1" width="10.7109375" bestFit="1" customWidth="1"/>
    <col min="3" max="4" width="17.5703125" bestFit="1" customWidth="1"/>
    <col min="5" max="5" width="12.28515625" bestFit="1" customWidth="1"/>
    <col min="7" max="7" width="16" bestFit="1" customWidth="1"/>
    <col min="10" max="10" width="15" bestFit="1" customWidth="1"/>
    <col min="11" max="11" width="19" bestFit="1" customWidth="1"/>
    <col min="13" max="13" width="18.85546875" bestFit="1" customWidth="1"/>
    <col min="14" max="14" width="16.7109375" customWidth="1"/>
    <col min="15" max="15" width="14.7109375" customWidth="1"/>
    <col min="16" max="16" width="15.5703125" bestFit="1" customWidth="1"/>
    <col min="17" max="17" width="14.85546875" bestFit="1" customWidth="1"/>
    <col min="18" max="18" width="13.140625" bestFit="1" customWidth="1"/>
    <col min="19" max="19" width="14.140625" bestFit="1" customWidth="1"/>
    <col min="20" max="20" width="16.7109375" bestFit="1" customWidth="1"/>
  </cols>
  <sheetData>
    <row r="1" spans="1:20" x14ac:dyDescent="0.25">
      <c r="B1" s="1" t="s">
        <v>30</v>
      </c>
      <c r="C1" t="s">
        <v>31</v>
      </c>
      <c r="D1" t="s">
        <v>32</v>
      </c>
      <c r="E1" t="s">
        <v>33</v>
      </c>
      <c r="F1" t="s">
        <v>46</v>
      </c>
      <c r="G1" t="s">
        <v>47</v>
      </c>
      <c r="I1" s="25" t="s">
        <v>23</v>
      </c>
      <c r="J1" s="25"/>
      <c r="K1" s="25"/>
    </row>
    <row r="2" spans="1:20" x14ac:dyDescent="0.25">
      <c r="A2" t="s">
        <v>26</v>
      </c>
      <c r="B2" t="s">
        <v>34</v>
      </c>
      <c r="C2" t="s">
        <v>38</v>
      </c>
      <c r="D2" t="s">
        <v>39</v>
      </c>
      <c r="E2" t="s">
        <v>43</v>
      </c>
      <c r="F2">
        <v>4</v>
      </c>
      <c r="G2">
        <v>2</v>
      </c>
      <c r="I2" s="1" t="s">
        <v>18</v>
      </c>
      <c r="J2" s="1" t="s">
        <v>14</v>
      </c>
      <c r="K2" s="1" t="s">
        <v>15</v>
      </c>
      <c r="M2" t="s">
        <v>48</v>
      </c>
      <c r="N2" t="s">
        <v>50</v>
      </c>
      <c r="O2" t="s">
        <v>52</v>
      </c>
    </row>
    <row r="3" spans="1:20" x14ac:dyDescent="0.25">
      <c r="A3" t="s">
        <v>27</v>
      </c>
      <c r="B3" t="s">
        <v>35</v>
      </c>
      <c r="C3" t="s">
        <v>40</v>
      </c>
      <c r="D3" t="s">
        <v>40</v>
      </c>
      <c r="E3" t="s">
        <v>44</v>
      </c>
      <c r="I3" s="1" t="s">
        <v>12</v>
      </c>
      <c r="J3" s="2">
        <f>IF($G$2=1,'PV-DIESEL-BATTERY DATA'!B3,IF($G$2=2,'PV-DIESEL DATA'!B3,IF($G$2=3,'BATTERY-DIESEL DATA'!B3,0)))</f>
        <v>21314090</v>
      </c>
      <c r="K3" s="2">
        <f>IF($G$2=1,'PV-DIESEL-BATTERY DATA'!C3,IF($G$2=2,'PV-DIESEL DATA'!C3,IF($G$2=3,'BATTERY-DIESEL DATA'!C3,0)))</f>
        <v>21043459.579999998</v>
      </c>
      <c r="M3" t="s">
        <v>49</v>
      </c>
      <c r="N3" t="s">
        <v>51</v>
      </c>
      <c r="O3" t="s">
        <v>53</v>
      </c>
    </row>
    <row r="4" spans="1:20" x14ac:dyDescent="0.25">
      <c r="A4" t="s">
        <v>28</v>
      </c>
      <c r="B4" t="s">
        <v>36</v>
      </c>
      <c r="C4" t="s">
        <v>41</v>
      </c>
      <c r="D4" t="s">
        <v>41</v>
      </c>
      <c r="E4" t="s">
        <v>13</v>
      </c>
      <c r="I4" s="1" t="s">
        <v>1</v>
      </c>
      <c r="J4" s="2">
        <f>IF($G$2=1,'PV-DIESEL-BATTERY DATA'!B4,IF($G$2=2,'PV-DIESEL DATA'!B4,IF($G$2=3,'BATTERY-DIESEL DATA'!B4,0)))</f>
        <v>21364520</v>
      </c>
      <c r="K4" s="2">
        <f>IF($G$2=1,'PV-DIESEL-BATTERY DATA'!C4,IF($G$2=2,'PV-DIESEL DATA'!C4,IF($G$2=3,'BATTERY-DIESEL DATA'!C4,0)))</f>
        <v>21359921.629999999</v>
      </c>
    </row>
    <row r="5" spans="1:20" x14ac:dyDescent="0.25">
      <c r="A5" t="s">
        <v>29</v>
      </c>
      <c r="B5" t="s">
        <v>37</v>
      </c>
      <c r="C5" t="s">
        <v>42</v>
      </c>
      <c r="D5" t="s">
        <v>42</v>
      </c>
      <c r="E5" t="s">
        <v>45</v>
      </c>
      <c r="I5" s="1" t="s">
        <v>2</v>
      </c>
      <c r="J5" s="2">
        <f>IF($G$2=1,'PV-DIESEL-BATTERY DATA'!B5,IF($G$2=2,'PV-DIESEL DATA'!B5,IF($G$2=3,0,0)))</f>
        <v>21684360</v>
      </c>
      <c r="K5" s="2">
        <f>IF($G$2=1,'PV-DIESEL-BATTERY DATA'!C5,IF($G$2=2,'PV-DIESEL DATA'!C5,IF($G$2=3,0,0)))</f>
        <v>21439067.91</v>
      </c>
      <c r="M5" t="str">
        <f>IF($G$2=1,M2,IF($G$2=2,N2,IF($G$2=3,O2,)))</f>
        <v>PV - Diesel</v>
      </c>
    </row>
    <row r="6" spans="1:20" x14ac:dyDescent="0.25">
      <c r="B6" t="str" cm="1">
        <f t="array" ref="B6">INDEX(B2:B5,$F$2)</f>
        <v>30 anos</v>
      </c>
      <c r="C6" t="str" cm="1">
        <f t="array" ref="C6">INDEX(C2:C5,$F$2)</f>
        <v>C$ 7000,00/bateria</v>
      </c>
      <c r="D6" t="str" cm="1">
        <f t="array" ref="D6">INDEX(D2:D5,$F$2)</f>
        <v>C$ 7000,00/bateria</v>
      </c>
      <c r="E6" t="str" cm="1">
        <f t="array" ref="E6">INDEX(E2:E5,$F$2)</f>
        <v>C$ 10,00/ano</v>
      </c>
      <c r="I6" s="1" t="s">
        <v>3</v>
      </c>
      <c r="J6" s="2">
        <f>IF($G$2=1,'PV-DIESEL-BATTERY DATA'!B6,IF($G$2=2,'PV-DIESEL DATA'!B6,IF($G$2=3,0,0)))</f>
        <v>22649110</v>
      </c>
      <c r="K6" s="2">
        <f>IF($G$2=1,'PV-DIESEL-BATTERY DATA'!C6,IF($G$2=2,'PV-DIESEL DATA'!C6,IF($G$2=3,0,0)))</f>
        <v>22129062.050000001</v>
      </c>
      <c r="M6" t="str">
        <f>IF($G$2=1,M3,IF($G$2=2,N3,IF($G$2=3,O3,)))</f>
        <v>Utilização de um sistema utilizando os geradores, sistema fotovoltaico, mas sem sistema de armazenamento.</v>
      </c>
    </row>
    <row r="7" spans="1:20" x14ac:dyDescent="0.25">
      <c r="I7" s="25" t="s">
        <v>20</v>
      </c>
      <c r="J7" s="25"/>
      <c r="K7" s="25"/>
    </row>
    <row r="8" spans="1:20" x14ac:dyDescent="0.25">
      <c r="I8" s="1" t="s">
        <v>18</v>
      </c>
      <c r="J8" s="1" t="s">
        <v>14</v>
      </c>
      <c r="K8" s="1" t="s">
        <v>15</v>
      </c>
      <c r="M8" t="s">
        <v>0</v>
      </c>
      <c r="N8" t="s">
        <v>4</v>
      </c>
      <c r="O8" t="s">
        <v>5</v>
      </c>
      <c r="P8" t="s">
        <v>6</v>
      </c>
      <c r="Q8" t="s">
        <v>7</v>
      </c>
      <c r="R8" t="s">
        <v>10</v>
      </c>
      <c r="S8" t="s">
        <v>11</v>
      </c>
      <c r="T8" t="s">
        <v>25</v>
      </c>
    </row>
    <row r="9" spans="1:20" x14ac:dyDescent="0.25">
      <c r="I9" s="1" t="s">
        <v>12</v>
      </c>
      <c r="J9" s="2">
        <f>IF($G$2=1,'PV-DIESEL-BATTERY DATA'!B9,IF($G$2=2,'PV-DIESEL DATA'!B9,IF($G$2=3,'BATTERY-DIESEL DATA'!B7,0)))</f>
        <v>0.51459999999999995</v>
      </c>
      <c r="K9" s="2">
        <f>IF($G$2=1,'PV-DIESEL-BATTERY DATA'!C9,IF($G$2=2,'PV-DIESEL DATA'!C9,IF($G$2=3,'BATTERY-DIESEL DATA'!C7,0)))</f>
        <v>0.5252</v>
      </c>
      <c r="M9" t="s">
        <v>12</v>
      </c>
      <c r="N9">
        <f>IF($G$2=1,'PV-DIESEL-BATTERY DATA'!F3,IF($G$2=2,'PV-DIESEL DATA'!F3,IF($G$2=3,'BATTERY-DIESEL DATA'!F3,0)))</f>
        <v>800</v>
      </c>
      <c r="O9">
        <f>IF($G$2=1,'PV-DIESEL-BATTERY DATA'!G3,IF($G$2=2,'PV-DIESEL DATA'!G3,IF($G$2=3,'BATTERY-DIESEL DATA'!G3,0)))</f>
        <v>400</v>
      </c>
      <c r="P9" t="str">
        <f>IF($G$2=1,'PV-DIESEL-BATTERY DATA'!H3,IF($G$2=2,'PV-DIESEL DATA'!H3,IF($G$2=3,'BATTERY-DIESEL DATA'!H3,0)))</f>
        <v>-</v>
      </c>
      <c r="Q9" t="str">
        <f>IF($G$2=1,'PV-DIESEL-BATTERY DATA'!I3,IF($G$2=2,'PV-DIESEL DATA'!I3,IF($G$2=3,'BATTERY-DIESEL DATA'!I3,0)))</f>
        <v>-</v>
      </c>
      <c r="R9" t="str">
        <f>IF($G$2=1,'PV-DIESEL-BATTERY DATA'!J3,IF($G$2=2,'PV-DIESEL DATA'!J3,IF($G$2=3,'BATTERY-DIESEL DATA'!J3,0)))</f>
        <v>-</v>
      </c>
      <c r="S9" t="str">
        <f>IF($G$2=1,'PV-DIESEL-BATTERY DATA'!K3,IF($G$2=2,'PV-DIESEL DATA'!K3,IF($G$2=3,'BATTERY-DIESEL DATA'!K3,0)))</f>
        <v>-</v>
      </c>
      <c r="T9">
        <v>1</v>
      </c>
    </row>
    <row r="10" spans="1:20" x14ac:dyDescent="0.25">
      <c r="I10" s="1" t="s">
        <v>1</v>
      </c>
      <c r="J10" s="2">
        <f>IF($G$2=1,'PV-DIESEL-BATTERY DATA'!B10,IF($G$2=2,'PV-DIESEL DATA'!B10,IF($G$2=3,'BATTERY-DIESEL DATA'!B8,0)))</f>
        <v>0.51580000000000004</v>
      </c>
      <c r="K10" s="2">
        <f>IF($G$2=1,'PV-DIESEL-BATTERY DATA'!C10,IF($G$2=2,'PV-DIESEL DATA'!C10,IF($G$2=3,'BATTERY-DIESEL DATA'!C8,0)))</f>
        <v>0.53310000000000002</v>
      </c>
      <c r="M10" t="s">
        <v>1</v>
      </c>
      <c r="N10">
        <f>IF($G$2=1,'PV-DIESEL-BATTERY DATA'!F4,IF($G$2=2,'PV-DIESEL DATA'!F4,IF($G$2=3,'BATTERY-DIESEL DATA'!F4,0)))</f>
        <v>800</v>
      </c>
      <c r="O10">
        <f>IF($G$2=1,'PV-DIESEL-BATTERY DATA'!G4,IF($G$2=2,'PV-DIESEL DATA'!G4,IF($G$2=3,'BATTERY-DIESEL DATA'!G4,0)))</f>
        <v>400</v>
      </c>
      <c r="P10">
        <f>IF($G$2=1,'PV-DIESEL-BATTERY DATA'!H4,IF($G$2=2,'PV-DIESEL DATA'!H4,IF($G$2=3,'BATTERY-DIESEL DATA'!H4,0)))</f>
        <v>25</v>
      </c>
      <c r="Q10">
        <f>IF($G$2=1,'PV-DIESEL-BATTERY DATA'!I4,IF($G$2=2,'PV-DIESEL DATA'!I4,IF($G$2=3,'BATTERY-DIESEL DATA'!I4,0)))</f>
        <v>25</v>
      </c>
      <c r="R10" t="str">
        <f>IF($G$2=1,'PV-DIESEL-BATTERY DATA'!J4,IF($G$2=2,'PV-DIESEL DATA'!J4,IF($G$2=3,'BATTERY-DIESEL DATA'!J4,0)))</f>
        <v>-</v>
      </c>
      <c r="S10" t="str">
        <f>IF($G$2=1,'PV-DIESEL-BATTERY DATA'!K4,IF($G$2=2,'PV-DIESEL DATA'!K4,IF($G$2=3,'BATTERY-DIESEL DATA'!K4,0)))</f>
        <v>-</v>
      </c>
    </row>
    <row r="11" spans="1:20" x14ac:dyDescent="0.25">
      <c r="I11" s="1" t="s">
        <v>2</v>
      </c>
      <c r="J11" s="2">
        <f>IF($G$2=1,'PV-DIESEL-BATTERY DATA'!B11,IF($G$2=2,'PV-DIESEL DATA'!B11,IF($G$2=3,0,0)))</f>
        <v>0.52349999999999997</v>
      </c>
      <c r="K11" s="2">
        <f>IF($G$2=1,'PV-DIESEL-BATTERY DATA'!C11,IF($G$2=2,'PV-DIESEL DATA'!C11,IF($G$2=3,0,0)))</f>
        <v>0.53510000000000002</v>
      </c>
      <c r="M11" t="s">
        <v>2</v>
      </c>
      <c r="N11">
        <f>IF($G$2=1,'PV-DIESEL-BATTERY DATA'!F5,IF($G$2=2,'PV-DIESEL DATA'!F5,IF($G$2=3,'BATTERY-DIESEL DATA'!F5,0)))</f>
        <v>800</v>
      </c>
      <c r="O11">
        <f>IF($G$2=1,'PV-DIESEL-BATTERY DATA'!G5,IF($G$2=2,'PV-DIESEL DATA'!G5,IF($G$2=3,'BATTERY-DIESEL DATA'!G5,0)))</f>
        <v>400</v>
      </c>
      <c r="P11">
        <f>IF($G$2=1,'PV-DIESEL-BATTERY DATA'!H5,IF($G$2=2,'PV-DIESEL DATA'!H5,IF($G$2=3,'BATTERY-DIESEL DATA'!H5,0)))</f>
        <v>200</v>
      </c>
      <c r="Q11">
        <f>IF($G$2=1,'PV-DIESEL-BATTERY DATA'!I5,IF($G$2=2,'PV-DIESEL DATA'!I5,IF($G$2=3,'BATTERY-DIESEL DATA'!I5,0)))</f>
        <v>150</v>
      </c>
      <c r="R11" t="str">
        <f>IF($G$2=1,'PV-DIESEL-BATTERY DATA'!J5,IF($G$2=2,'PV-DIESEL DATA'!J5,IF($G$2=3,'BATTERY-DIESEL DATA'!J5,0)))</f>
        <v>-</v>
      </c>
      <c r="S11" t="str">
        <f>IF($G$2=1,'PV-DIESEL-BATTERY DATA'!K5,IF($G$2=2,'PV-DIESEL DATA'!K5,IF($G$2=3,'BATTERY-DIESEL DATA'!K5,0)))</f>
        <v>-</v>
      </c>
    </row>
    <row r="12" spans="1:20" x14ac:dyDescent="0.25">
      <c r="I12" s="1" t="s">
        <v>3</v>
      </c>
      <c r="J12" s="2">
        <f>IF($G$2=1,'PV-DIESEL-BATTERY DATA'!B12,IF($G$2=2,'PV-DIESEL DATA'!B12,IF($G$2=3,0,0)))</f>
        <v>0.54679999999999995</v>
      </c>
      <c r="K12" s="2">
        <f>IF($G$2=1,'PV-DIESEL-BATTERY DATA'!C12,IF($G$2=2,'PV-DIESEL DATA'!C12,IF($G$2=3,0,0)))</f>
        <v>0.55230000000000001</v>
      </c>
      <c r="M12" t="s">
        <v>3</v>
      </c>
      <c r="N12">
        <f>IF($G$2=1,'PV-DIESEL-BATTERY DATA'!F6,IF($G$2=2,'PV-DIESEL DATA'!F6,IF($G$2=3,'BATTERY-DIESEL DATA'!F6,0)))</f>
        <v>800</v>
      </c>
      <c r="O12">
        <f>IF($G$2=1,'PV-DIESEL-BATTERY DATA'!G6,IF($G$2=2,'PV-DIESEL DATA'!G6,IF($G$2=3,'BATTERY-DIESEL DATA'!G6,0)))</f>
        <v>400</v>
      </c>
      <c r="P12">
        <f>IF($G$2=1,'PV-DIESEL-BATTERY DATA'!H6,IF($G$2=2,'PV-DIESEL DATA'!H6,IF($G$2=3,'BATTERY-DIESEL DATA'!H6,0)))</f>
        <v>400</v>
      </c>
      <c r="Q12">
        <f>IF($G$2=1,'PV-DIESEL-BATTERY DATA'!I6,IF($G$2=2,'PV-DIESEL DATA'!I6,IF($G$2=3,'BATTERY-DIESEL DATA'!I6,0)))</f>
        <v>350</v>
      </c>
      <c r="R12" t="str">
        <f>IF($G$2=1,'PV-DIESEL-BATTERY DATA'!J6,IF($G$2=2,'PV-DIESEL DATA'!J6,IF($G$2=3,'BATTERY-DIESEL DATA'!J6,0)))</f>
        <v>-</v>
      </c>
      <c r="S12" t="str">
        <f>IF($G$2=1,'PV-DIESEL-BATTERY DATA'!K6,IF($G$2=2,'PV-DIESEL DATA'!K6,IF($G$2=3,'BATTERY-DIESEL DATA'!K6,0)))</f>
        <v>-</v>
      </c>
    </row>
    <row r="13" spans="1:20" x14ac:dyDescent="0.25">
      <c r="I13" s="25" t="s">
        <v>21</v>
      </c>
      <c r="J13" s="25"/>
      <c r="K13" s="25"/>
      <c r="N13" cm="1">
        <f t="array" ref="N13">INDEX(N9:N12,$T$9)</f>
        <v>800</v>
      </c>
      <c r="O13" cm="1">
        <f t="array" ref="O13">INDEX(O9:O12,$T$9)</f>
        <v>400</v>
      </c>
      <c r="P13" t="str" cm="1">
        <f t="array" ref="P13">INDEX(P9:P12,$T$9)</f>
        <v>-</v>
      </c>
      <c r="Q13" t="str" cm="1">
        <f t="array" ref="Q13">INDEX(Q9:Q12,$T$9)</f>
        <v>-</v>
      </c>
      <c r="R13" t="str" cm="1">
        <f t="array" ref="R13">INDEX(R9:R12,$T$9)</f>
        <v>-</v>
      </c>
      <c r="S13" t="str" cm="1">
        <f t="array" ref="S13">INDEX(S9:S12,$T$9)</f>
        <v>-</v>
      </c>
    </row>
    <row r="14" spans="1:20" x14ac:dyDescent="0.25">
      <c r="I14" s="1" t="s">
        <v>18</v>
      </c>
      <c r="J14" s="1" t="s">
        <v>14</v>
      </c>
      <c r="K14" s="1" t="s">
        <v>15</v>
      </c>
    </row>
    <row r="15" spans="1:20" x14ac:dyDescent="0.25">
      <c r="I15" s="1" t="s">
        <v>1</v>
      </c>
      <c r="J15" s="3">
        <f>IF($G$2=1,'PV-DIESEL-BATTERY DATA'!B15,IF($G$2=2,'PV-DIESEL DATA'!B15,IF($G$2=3,'BATTERY-DIESEL DATA'!B11,0)))</f>
        <v>4.0000000000000001E-3</v>
      </c>
      <c r="K15" s="3">
        <f>IF($G$2=1,'PV-DIESEL-BATTERY DATA'!C15,IF($G$2=2,'PV-DIESEL DATA'!C15,IF($G$2=3,'BATTERY-DIESEL DATA'!C11,0)))</f>
        <v>1.2999999999999999E-2</v>
      </c>
    </row>
    <row r="16" spans="1:20" x14ac:dyDescent="0.25">
      <c r="I16" s="1" t="s">
        <v>2</v>
      </c>
      <c r="J16" s="3">
        <f>IF($G$2=1,'PV-DIESEL-BATTERY DATA'!B16,IF($G$2=2,'PV-DIESEL DATA'!B16,IF($G$2=3,0,0)))</f>
        <v>5.0000000000000001E-3</v>
      </c>
      <c r="K16" s="3">
        <f>IF($G$2=1,'PV-DIESEL-BATTERY DATA'!C16,IF($G$2=2,'PV-DIESEL DATA'!C16,IF($G$2=3,0,0)))</f>
        <v>5.0000000000000001E-3</v>
      </c>
    </row>
    <row r="17" spans="9:11" x14ac:dyDescent="0.25">
      <c r="I17" s="1" t="s">
        <v>3</v>
      </c>
      <c r="J17" s="3">
        <f>IF($G$2=1,'PV-DIESEL-BATTERY DATA'!B17,IF($G$2=2,'PV-DIESEL DATA'!B17,IF($G$2=3,0,0)))</f>
        <v>-1.0999999999999999E-2</v>
      </c>
      <c r="K17" s="3">
        <f>IF($G$2=1,'PV-DIESEL-BATTERY DATA'!C17,IF($G$2=2,'PV-DIESEL DATA'!C17,IF($G$2=3,0,0)))</f>
        <v>-2E-3</v>
      </c>
    </row>
    <row r="18" spans="9:11" x14ac:dyDescent="0.25">
      <c r="I18" s="25" t="s">
        <v>22</v>
      </c>
      <c r="J18" s="25"/>
      <c r="K18" s="25"/>
    </row>
    <row r="19" spans="9:11" x14ac:dyDescent="0.25">
      <c r="I19" s="1" t="s">
        <v>18</v>
      </c>
      <c r="J19" s="1" t="s">
        <v>14</v>
      </c>
      <c r="K19" s="1" t="s">
        <v>15</v>
      </c>
    </row>
    <row r="20" spans="9:11" x14ac:dyDescent="0.25">
      <c r="I20" s="1" t="s">
        <v>1</v>
      </c>
      <c r="J20" s="4">
        <f>IF($G$2=1,'PV-DIESEL-BATTERY DATA'!B20,IF($G$2=2,'PV-DIESEL DATA'!B20,IF($G$2=3,'BATTERY-DIESEL DATA'!B14,0)))</f>
        <v>18.03</v>
      </c>
      <c r="K20" s="4">
        <f>IF($G$2=1,'PV-DIESEL-BATTERY DATA'!C20,IF($G$2=2,'PV-DIESEL DATA'!C20,IF($G$2=3,'BATTERY-DIESEL DATA'!C14,0)))</f>
        <v>19.21</v>
      </c>
    </row>
    <row r="21" spans="9:11" x14ac:dyDescent="0.25">
      <c r="I21" s="1" t="s">
        <v>2</v>
      </c>
      <c r="J21" s="4">
        <f>IF($G$2=1,'PV-DIESEL-BATTERY DATA'!B21,IF($G$2=2,'PV-DIESEL DATA'!B21,IF($G$2=3,0,0)))</f>
        <v>18.16</v>
      </c>
      <c r="K21" s="4">
        <f>IF($G$2=1,'PV-DIESEL-BATTERY DATA'!C21,IF($G$2=2,'PV-DIESEL DATA'!C21,IF($G$2=3,0,0)))</f>
        <v>19.649999999999999</v>
      </c>
    </row>
    <row r="22" spans="9:11" x14ac:dyDescent="0.25">
      <c r="I22" s="1" t="s">
        <v>3</v>
      </c>
      <c r="J22" s="4">
        <f>IF($G$2=1,'PV-DIESEL-BATTERY DATA'!B22,IF($G$2=2,'PV-DIESEL DATA'!B22,IF($G$2=3,0,0)))</f>
        <v>18.87</v>
      </c>
      <c r="K22" s="4">
        <f>IF($G$2=1,'PV-DIESEL-BATTERY DATA'!C22,IF($G$2=2,'PV-DIESEL DATA'!C22,IF($G$2=3,0,0)))</f>
        <v>20</v>
      </c>
    </row>
    <row r="23" spans="9:11" x14ac:dyDescent="0.25">
      <c r="I23" s="25" t="s">
        <v>24</v>
      </c>
      <c r="J23" s="25"/>
      <c r="K23" s="25"/>
    </row>
    <row r="24" spans="9:11" x14ac:dyDescent="0.25">
      <c r="I24" s="1" t="s">
        <v>18</v>
      </c>
      <c r="J24" s="1" t="s">
        <v>14</v>
      </c>
      <c r="K24" s="1" t="s">
        <v>15</v>
      </c>
    </row>
    <row r="25" spans="9:11" x14ac:dyDescent="0.25">
      <c r="I25" s="1" t="s">
        <v>1</v>
      </c>
      <c r="J25" s="3">
        <f>IF($G$2=1,'PV-DIESEL-BATTERY DATA'!B25,IF($G$2=2,'PV-DIESEL DATA'!B25,IF($G$2=3,0,0)))</f>
        <v>9.2899999999999996E-3</v>
      </c>
      <c r="K25" s="3">
        <f>IF($G$2=1,'PV-DIESEL-BATTERY DATA'!C25,IF($G$2=2,'PV-DIESEL DATA'!C25,IF($G$2=3,0,0)))</f>
        <v>1.2E-2</v>
      </c>
    </row>
    <row r="26" spans="9:11" x14ac:dyDescent="0.25">
      <c r="I26" s="1" t="s">
        <v>2</v>
      </c>
      <c r="J26" s="3">
        <f>IF($G$2=1,'PV-DIESEL-BATTERY DATA'!B26,IF($G$2=2,'PV-DIESEL DATA'!B26,IF($G$2=3,0,0)))</f>
        <v>7.7600000000000002E-2</v>
      </c>
      <c r="K26" s="3">
        <f>IF($G$2=1,'PV-DIESEL-BATTERY DATA'!C26,IF($G$2=2,'PV-DIESEL DATA'!C26,IF($G$2=3,0,0)))</f>
        <v>9.0999999999999998E-2</v>
      </c>
    </row>
    <row r="27" spans="9:11" x14ac:dyDescent="0.25">
      <c r="I27" s="1" t="s">
        <v>3</v>
      </c>
      <c r="J27" s="3">
        <f>IF($G$2=1,'PV-DIESEL-BATTERY DATA'!B27,IF($G$2=2,'PV-DIESEL DATA'!B27,IF($G$2=3,0,0)))</f>
        <v>0.14699999999999999</v>
      </c>
      <c r="K27" s="3">
        <f>IF($G$2=1,'PV-DIESEL-BATTERY DATA'!C27,IF($G$2=2,'PV-DIESEL DATA'!C27,IF($G$2=3,0,0)))</f>
        <v>0.14499999999999999</v>
      </c>
    </row>
  </sheetData>
  <mergeCells count="5">
    <mergeCell ref="I1:K1"/>
    <mergeCell ref="I7:K7"/>
    <mergeCell ref="I13:K13"/>
    <mergeCell ref="I18:K18"/>
    <mergeCell ref="I23:K2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1C0EB-A39A-4938-9906-85D001B67F46}">
  <sheetPr codeName="Planilha4"/>
  <dimension ref="A1:K40"/>
  <sheetViews>
    <sheetView workbookViewId="0">
      <selection activeCell="B7" sqref="B7"/>
    </sheetView>
  </sheetViews>
  <sheetFormatPr defaultRowHeight="15" x14ac:dyDescent="0.25"/>
  <cols>
    <col min="1" max="1" width="18.140625" style="19" bestFit="1" customWidth="1"/>
    <col min="2" max="2" width="15.5703125" style="19" customWidth="1"/>
    <col min="3" max="3" width="19" style="19" bestFit="1" customWidth="1"/>
    <col min="4" max="4" width="11.42578125" customWidth="1"/>
    <col min="6" max="7" width="14.42578125" bestFit="1" customWidth="1"/>
    <col min="8" max="8" width="15.5703125" bestFit="1" customWidth="1"/>
    <col min="9" max="9" width="14.85546875" bestFit="1" customWidth="1"/>
    <col min="10" max="10" width="13.140625" bestFit="1" customWidth="1"/>
    <col min="11" max="11" width="14.140625" bestFit="1" customWidth="1"/>
  </cols>
  <sheetData>
    <row r="1" spans="1:11" x14ac:dyDescent="0.25">
      <c r="A1" s="26" t="s">
        <v>19</v>
      </c>
      <c r="B1" s="26"/>
      <c r="C1" s="26"/>
    </row>
    <row r="2" spans="1:11" x14ac:dyDescent="0.25">
      <c r="A2" s="8" t="s">
        <v>18</v>
      </c>
      <c r="B2" s="8" t="s">
        <v>14</v>
      </c>
      <c r="C2" s="9" t="s">
        <v>15</v>
      </c>
      <c r="E2" s="19" t="s">
        <v>0</v>
      </c>
      <c r="F2" s="19" t="s">
        <v>4</v>
      </c>
      <c r="G2" s="19" t="s">
        <v>5</v>
      </c>
      <c r="H2" t="s">
        <v>6</v>
      </c>
      <c r="I2" s="19" t="s">
        <v>7</v>
      </c>
      <c r="J2" s="19" t="s">
        <v>10</v>
      </c>
      <c r="K2" s="19" t="s">
        <v>11</v>
      </c>
    </row>
    <row r="3" spans="1:11" x14ac:dyDescent="0.25">
      <c r="A3" s="10" t="s">
        <v>12</v>
      </c>
      <c r="B3" s="11">
        <v>21314090</v>
      </c>
      <c r="C3" s="6">
        <v>21043459.579999998</v>
      </c>
      <c r="E3" s="19" t="s">
        <v>12</v>
      </c>
      <c r="F3" s="19">
        <v>800</v>
      </c>
      <c r="G3" s="19">
        <v>400</v>
      </c>
      <c r="H3" t="s">
        <v>13</v>
      </c>
      <c r="I3" s="19" t="s">
        <v>13</v>
      </c>
      <c r="J3" s="19" t="s">
        <v>13</v>
      </c>
      <c r="K3" s="19" t="s">
        <v>13</v>
      </c>
    </row>
    <row r="4" spans="1:11" x14ac:dyDescent="0.25">
      <c r="A4" s="10" t="s">
        <v>1</v>
      </c>
      <c r="B4" s="11">
        <v>21393270</v>
      </c>
      <c r="C4" s="12">
        <v>21135316.440000001</v>
      </c>
      <c r="E4" s="19" t="s">
        <v>1</v>
      </c>
      <c r="F4" s="19">
        <v>800</v>
      </c>
      <c r="G4" s="19">
        <v>400</v>
      </c>
      <c r="H4" t="s">
        <v>13</v>
      </c>
      <c r="I4" s="19">
        <v>25</v>
      </c>
      <c r="J4" s="19">
        <v>10</v>
      </c>
      <c r="K4" s="19">
        <v>76</v>
      </c>
    </row>
    <row r="5" spans="1:11" x14ac:dyDescent="0.25">
      <c r="A5" s="27" t="s">
        <v>20</v>
      </c>
      <c r="B5" s="27"/>
      <c r="C5" s="27"/>
      <c r="E5" s="19" t="s">
        <v>2</v>
      </c>
      <c r="F5" t="s">
        <v>13</v>
      </c>
      <c r="G5" t="s">
        <v>13</v>
      </c>
      <c r="H5" t="s">
        <v>13</v>
      </c>
      <c r="I5" t="s">
        <v>13</v>
      </c>
      <c r="J5" t="s">
        <v>13</v>
      </c>
      <c r="K5" t="s">
        <v>13</v>
      </c>
    </row>
    <row r="6" spans="1:11" x14ac:dyDescent="0.25">
      <c r="A6" s="8" t="s">
        <v>18</v>
      </c>
      <c r="B6" s="8" t="s">
        <v>14</v>
      </c>
      <c r="C6" s="9" t="s">
        <v>15</v>
      </c>
      <c r="E6" s="19" t="s">
        <v>3</v>
      </c>
      <c r="F6" t="s">
        <v>13</v>
      </c>
      <c r="G6" t="s">
        <v>13</v>
      </c>
      <c r="H6" t="s">
        <v>13</v>
      </c>
      <c r="I6" t="s">
        <v>13</v>
      </c>
      <c r="J6" t="s">
        <v>13</v>
      </c>
      <c r="K6" t="s">
        <v>13</v>
      </c>
    </row>
    <row r="7" spans="1:11" x14ac:dyDescent="0.25">
      <c r="A7" s="10" t="s">
        <v>12</v>
      </c>
      <c r="B7" s="11">
        <v>0.51459999999999995</v>
      </c>
      <c r="C7" s="6">
        <v>0.5252</v>
      </c>
    </row>
    <row r="8" spans="1:11" x14ac:dyDescent="0.25">
      <c r="A8" s="10" t="s">
        <v>1</v>
      </c>
      <c r="B8" s="11">
        <v>0.51649999999999996</v>
      </c>
      <c r="C8" s="12">
        <v>0.52749999999999997</v>
      </c>
    </row>
    <row r="9" spans="1:11" x14ac:dyDescent="0.25">
      <c r="A9" s="27" t="s">
        <v>21</v>
      </c>
      <c r="B9" s="27"/>
      <c r="C9" s="27"/>
      <c r="D9" s="1"/>
    </row>
    <row r="10" spans="1:11" x14ac:dyDescent="0.25">
      <c r="A10" s="8" t="s">
        <v>18</v>
      </c>
      <c r="B10" s="8" t="s">
        <v>14</v>
      </c>
      <c r="C10" s="9" t="s">
        <v>15</v>
      </c>
    </row>
    <row r="11" spans="1:11" x14ac:dyDescent="0.25">
      <c r="A11" s="10" t="s">
        <v>1</v>
      </c>
      <c r="B11" s="13">
        <v>-2.5999999999999999E-2</v>
      </c>
      <c r="C11" s="14">
        <v>-4.2999999999999997E-2</v>
      </c>
    </row>
    <row r="12" spans="1:11" x14ac:dyDescent="0.25">
      <c r="A12" s="27" t="s">
        <v>22</v>
      </c>
      <c r="B12" s="27"/>
      <c r="C12" s="27"/>
    </row>
    <row r="13" spans="1:11" x14ac:dyDescent="0.25">
      <c r="A13" s="8" t="s">
        <v>18</v>
      </c>
      <c r="B13" s="8" t="s">
        <v>14</v>
      </c>
      <c r="C13" s="9" t="s">
        <v>15</v>
      </c>
    </row>
    <row r="14" spans="1:11" ht="15.75" x14ac:dyDescent="0.25">
      <c r="A14" s="10" t="s">
        <v>1</v>
      </c>
      <c r="B14" s="15">
        <v>20</v>
      </c>
      <c r="C14" s="16">
        <v>20</v>
      </c>
      <c r="H14" s="5"/>
    </row>
    <row r="24" spans="1:8" ht="15.75" x14ac:dyDescent="0.25">
      <c r="H24" s="5"/>
    </row>
    <row r="27" spans="1:8" ht="18.75" x14ac:dyDescent="0.3">
      <c r="A27" s="28" t="s">
        <v>9</v>
      </c>
      <c r="B27" s="28"/>
      <c r="C27" s="28"/>
    </row>
    <row r="28" spans="1:8" x14ac:dyDescent="0.25">
      <c r="A28" s="17" t="s">
        <v>0</v>
      </c>
      <c r="B28" s="17" t="s">
        <v>12</v>
      </c>
      <c r="C28" s="17" t="s">
        <v>1</v>
      </c>
    </row>
    <row r="29" spans="1:8" x14ac:dyDescent="0.25">
      <c r="A29" s="18" t="s">
        <v>4</v>
      </c>
      <c r="B29" s="18">
        <v>800</v>
      </c>
      <c r="C29" s="18">
        <v>800</v>
      </c>
    </row>
    <row r="30" spans="1:8" x14ac:dyDescent="0.25">
      <c r="A30" s="18" t="s">
        <v>5</v>
      </c>
      <c r="B30" s="18">
        <v>400</v>
      </c>
      <c r="C30" s="18">
        <v>400</v>
      </c>
    </row>
    <row r="31" spans="1:8" x14ac:dyDescent="0.25">
      <c r="A31" s="18" t="s">
        <v>10</v>
      </c>
      <c r="B31" s="18" t="s">
        <v>13</v>
      </c>
      <c r="C31" s="18">
        <v>10</v>
      </c>
    </row>
    <row r="32" spans="1:8" x14ac:dyDescent="0.25">
      <c r="A32" s="18" t="s">
        <v>11</v>
      </c>
      <c r="B32" s="18" t="s">
        <v>13</v>
      </c>
      <c r="C32" s="18">
        <v>76</v>
      </c>
    </row>
    <row r="33" spans="1:3" x14ac:dyDescent="0.25">
      <c r="A33" s="18" t="s">
        <v>7</v>
      </c>
      <c r="B33" s="18" t="s">
        <v>13</v>
      </c>
      <c r="C33" s="18">
        <v>25</v>
      </c>
    </row>
    <row r="35" spans="1:3" x14ac:dyDescent="0.25">
      <c r="A35" s="19" t="s">
        <v>0</v>
      </c>
      <c r="B35" s="19" t="s">
        <v>12</v>
      </c>
      <c r="C35" s="19" t="s">
        <v>1</v>
      </c>
    </row>
    <row r="36" spans="1:3" x14ac:dyDescent="0.25">
      <c r="A36" s="19" t="s">
        <v>4</v>
      </c>
      <c r="B36" s="19">
        <v>800</v>
      </c>
      <c r="C36" s="19">
        <v>800</v>
      </c>
    </row>
    <row r="37" spans="1:3" x14ac:dyDescent="0.25">
      <c r="A37" s="19" t="s">
        <v>5</v>
      </c>
      <c r="B37" s="19">
        <v>400</v>
      </c>
      <c r="C37" s="19">
        <v>400</v>
      </c>
    </row>
    <row r="38" spans="1:3" x14ac:dyDescent="0.25">
      <c r="A38" s="19" t="s">
        <v>10</v>
      </c>
      <c r="B38" s="19" t="s">
        <v>13</v>
      </c>
      <c r="C38" s="19">
        <v>10</v>
      </c>
    </row>
    <row r="39" spans="1:3" x14ac:dyDescent="0.25">
      <c r="A39" s="19" t="s">
        <v>11</v>
      </c>
      <c r="B39" s="19" t="s">
        <v>13</v>
      </c>
      <c r="C39" s="19">
        <v>76</v>
      </c>
    </row>
    <row r="40" spans="1:3" x14ac:dyDescent="0.25">
      <c r="A40" s="19" t="s">
        <v>7</v>
      </c>
      <c r="B40" s="19" t="s">
        <v>13</v>
      </c>
      <c r="C40" s="19">
        <v>25</v>
      </c>
    </row>
  </sheetData>
  <mergeCells count="5">
    <mergeCell ref="A1:C1"/>
    <mergeCell ref="A5:C5"/>
    <mergeCell ref="A9:C9"/>
    <mergeCell ref="A12:C12"/>
    <mergeCell ref="A27:C27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353CB-4156-443D-935E-DEEDCE8526F3}">
  <sheetPr codeName="Planilha5"/>
  <dimension ref="A1:Q42"/>
  <sheetViews>
    <sheetView workbookViewId="0">
      <selection activeCell="C9" sqref="C9"/>
    </sheetView>
  </sheetViews>
  <sheetFormatPr defaultRowHeight="15" x14ac:dyDescent="0.25"/>
  <cols>
    <col min="2" max="2" width="15" bestFit="1" customWidth="1"/>
    <col min="3" max="3" width="19" bestFit="1" customWidth="1"/>
    <col min="4" max="6" width="13.85546875" bestFit="1" customWidth="1"/>
    <col min="8" max="8" width="15.5703125" bestFit="1" customWidth="1"/>
    <col min="9" max="12" width="15" customWidth="1"/>
    <col min="13" max="13" width="18.140625" bestFit="1" customWidth="1"/>
    <col min="14" max="14" width="14.28515625" bestFit="1" customWidth="1"/>
    <col min="15" max="17" width="13.85546875" bestFit="1" customWidth="1"/>
  </cols>
  <sheetData>
    <row r="1" spans="1:17" x14ac:dyDescent="0.25">
      <c r="A1" s="25" t="s">
        <v>23</v>
      </c>
      <c r="B1" s="25"/>
      <c r="C1" s="25"/>
    </row>
    <row r="2" spans="1:17" x14ac:dyDescent="0.25">
      <c r="A2" s="1" t="s">
        <v>18</v>
      </c>
      <c r="B2" s="1" t="s">
        <v>14</v>
      </c>
      <c r="C2" s="1" t="s">
        <v>15</v>
      </c>
      <c r="E2" t="s">
        <v>0</v>
      </c>
      <c r="F2" t="s">
        <v>4</v>
      </c>
      <c r="G2" t="s">
        <v>5</v>
      </c>
      <c r="H2" t="s">
        <v>6</v>
      </c>
      <c r="I2" t="s">
        <v>7</v>
      </c>
      <c r="J2" t="s">
        <v>10</v>
      </c>
      <c r="K2" t="s">
        <v>11</v>
      </c>
    </row>
    <row r="3" spans="1:17" ht="15" customHeight="1" x14ac:dyDescent="0.3">
      <c r="A3" t="s">
        <v>12</v>
      </c>
      <c r="B3" s="6">
        <v>21314090</v>
      </c>
      <c r="C3" s="6">
        <v>21043459.579999998</v>
      </c>
      <c r="E3" t="s">
        <v>12</v>
      </c>
      <c r="F3">
        <v>800</v>
      </c>
      <c r="G3">
        <v>400</v>
      </c>
      <c r="H3" t="s">
        <v>13</v>
      </c>
      <c r="I3" t="s">
        <v>13</v>
      </c>
      <c r="J3" t="s">
        <v>13</v>
      </c>
      <c r="K3" t="s">
        <v>13</v>
      </c>
      <c r="L3" s="21"/>
      <c r="M3" s="29"/>
      <c r="N3" s="29"/>
      <c r="O3" s="29"/>
      <c r="P3" s="29"/>
      <c r="Q3" s="29"/>
    </row>
    <row r="4" spans="1:17" ht="15.75" x14ac:dyDescent="0.25">
      <c r="A4" t="s">
        <v>1</v>
      </c>
      <c r="B4" s="6">
        <v>21364520</v>
      </c>
      <c r="C4" s="6">
        <v>21359921.629999999</v>
      </c>
      <c r="E4" t="s">
        <v>1</v>
      </c>
      <c r="F4">
        <v>800</v>
      </c>
      <c r="G4">
        <v>400</v>
      </c>
      <c r="H4">
        <v>25</v>
      </c>
      <c r="I4">
        <v>25</v>
      </c>
      <c r="J4" t="s">
        <v>13</v>
      </c>
      <c r="K4" t="s">
        <v>13</v>
      </c>
      <c r="L4" s="20"/>
    </row>
    <row r="5" spans="1:17" x14ac:dyDescent="0.25">
      <c r="A5" t="s">
        <v>2</v>
      </c>
      <c r="B5" s="6">
        <v>21684360</v>
      </c>
      <c r="C5" s="6">
        <v>21439067.91</v>
      </c>
      <c r="E5" t="s">
        <v>2</v>
      </c>
      <c r="F5">
        <v>800</v>
      </c>
      <c r="G5">
        <v>400</v>
      </c>
      <c r="H5">
        <v>200</v>
      </c>
      <c r="I5">
        <v>150</v>
      </c>
      <c r="J5" t="s">
        <v>13</v>
      </c>
      <c r="K5" t="s">
        <v>13</v>
      </c>
    </row>
    <row r="6" spans="1:17" x14ac:dyDescent="0.25">
      <c r="A6" t="s">
        <v>3</v>
      </c>
      <c r="B6" s="6">
        <v>22649110</v>
      </c>
      <c r="C6" s="6">
        <v>22129062.050000001</v>
      </c>
      <c r="E6" t="s">
        <v>3</v>
      </c>
      <c r="F6">
        <v>800</v>
      </c>
      <c r="G6">
        <v>400</v>
      </c>
      <c r="H6">
        <v>400</v>
      </c>
      <c r="I6">
        <v>350</v>
      </c>
      <c r="J6" t="s">
        <v>13</v>
      </c>
      <c r="K6" t="s">
        <v>13</v>
      </c>
    </row>
    <row r="7" spans="1:17" x14ac:dyDescent="0.25">
      <c r="A7" s="25" t="s">
        <v>20</v>
      </c>
      <c r="B7" s="25"/>
      <c r="C7" s="25"/>
    </row>
    <row r="8" spans="1:17" x14ac:dyDescent="0.25">
      <c r="A8" s="1" t="s">
        <v>18</v>
      </c>
      <c r="B8" s="1" t="s">
        <v>14</v>
      </c>
      <c r="C8" s="1" t="s">
        <v>15</v>
      </c>
    </row>
    <row r="9" spans="1:17" x14ac:dyDescent="0.25">
      <c r="A9" t="s">
        <v>12</v>
      </c>
      <c r="B9" s="6">
        <v>0.51459999999999995</v>
      </c>
      <c r="C9" s="6">
        <v>0.5252</v>
      </c>
    </row>
    <row r="10" spans="1:17" x14ac:dyDescent="0.25">
      <c r="A10" t="s">
        <v>1</v>
      </c>
      <c r="B10" s="6">
        <v>0.51580000000000004</v>
      </c>
      <c r="C10" s="6">
        <v>0.53310000000000002</v>
      </c>
    </row>
    <row r="11" spans="1:17" x14ac:dyDescent="0.25">
      <c r="A11" t="s">
        <v>2</v>
      </c>
      <c r="B11" s="6">
        <v>0.52349999999999997</v>
      </c>
      <c r="C11" s="6">
        <v>0.53510000000000002</v>
      </c>
    </row>
    <row r="12" spans="1:17" x14ac:dyDescent="0.25">
      <c r="A12" t="s">
        <v>3</v>
      </c>
      <c r="B12" s="6">
        <v>0.54679999999999995</v>
      </c>
      <c r="C12" s="6">
        <v>0.55230000000000001</v>
      </c>
    </row>
    <row r="13" spans="1:17" ht="15.75" x14ac:dyDescent="0.25">
      <c r="A13" s="25" t="s">
        <v>21</v>
      </c>
      <c r="B13" s="25"/>
      <c r="C13" s="25"/>
      <c r="E13" s="1"/>
      <c r="F13" s="1"/>
      <c r="G13" s="1"/>
      <c r="H13" s="30"/>
      <c r="I13" s="30"/>
      <c r="J13" s="30"/>
      <c r="K13" s="30"/>
      <c r="L13" s="30"/>
    </row>
    <row r="14" spans="1:17" ht="15.75" x14ac:dyDescent="0.25">
      <c r="A14" s="1" t="s">
        <v>18</v>
      </c>
      <c r="B14" s="1" t="s">
        <v>14</v>
      </c>
      <c r="C14" s="1" t="s">
        <v>15</v>
      </c>
      <c r="E14" s="1"/>
      <c r="F14" s="1"/>
      <c r="G14" s="1"/>
      <c r="H14" s="5"/>
      <c r="I14" s="5"/>
      <c r="J14" s="5"/>
      <c r="K14" s="5"/>
      <c r="L14" s="5"/>
    </row>
    <row r="15" spans="1:17" x14ac:dyDescent="0.25">
      <c r="A15" t="s">
        <v>1</v>
      </c>
      <c r="B15" s="7">
        <v>4.0000000000000001E-3</v>
      </c>
      <c r="C15" s="7">
        <v>1.2999999999999999E-2</v>
      </c>
      <c r="E15" s="1"/>
      <c r="F15" s="1"/>
      <c r="G15" s="1"/>
    </row>
    <row r="16" spans="1:17" x14ac:dyDescent="0.25">
      <c r="A16" t="s">
        <v>2</v>
      </c>
      <c r="B16" s="7">
        <v>5.0000000000000001E-3</v>
      </c>
      <c r="C16" s="7">
        <v>5.0000000000000001E-3</v>
      </c>
    </row>
    <row r="17" spans="1:12" x14ac:dyDescent="0.25">
      <c r="A17" t="s">
        <v>3</v>
      </c>
      <c r="B17" s="7">
        <v>-1.0999999999999999E-2</v>
      </c>
      <c r="C17" s="7">
        <v>-2E-3</v>
      </c>
    </row>
    <row r="18" spans="1:12" x14ac:dyDescent="0.25">
      <c r="A18" s="25" t="s">
        <v>22</v>
      </c>
      <c r="B18" s="25"/>
      <c r="C18" s="25"/>
    </row>
    <row r="19" spans="1:12" x14ac:dyDescent="0.25">
      <c r="A19" s="1" t="s">
        <v>18</v>
      </c>
      <c r="B19" s="1" t="s">
        <v>14</v>
      </c>
      <c r="C19" s="1" t="s">
        <v>15</v>
      </c>
    </row>
    <row r="20" spans="1:12" x14ac:dyDescent="0.25">
      <c r="A20" t="s">
        <v>1</v>
      </c>
      <c r="B20">
        <v>18.03</v>
      </c>
      <c r="C20">
        <v>19.21</v>
      </c>
    </row>
    <row r="21" spans="1:12" x14ac:dyDescent="0.25">
      <c r="A21" t="s">
        <v>2</v>
      </c>
      <c r="B21">
        <v>18.16</v>
      </c>
      <c r="C21">
        <v>19.649999999999999</v>
      </c>
    </row>
    <row r="22" spans="1:12" x14ac:dyDescent="0.25">
      <c r="A22" t="s">
        <v>3</v>
      </c>
      <c r="B22">
        <v>18.87</v>
      </c>
      <c r="C22" s="22">
        <v>20</v>
      </c>
    </row>
    <row r="23" spans="1:12" ht="15.75" x14ac:dyDescent="0.25">
      <c r="A23" s="25" t="s">
        <v>24</v>
      </c>
      <c r="B23" s="25"/>
      <c r="C23" s="25"/>
      <c r="H23" s="30"/>
      <c r="I23" s="30"/>
      <c r="J23" s="30"/>
      <c r="K23" s="30"/>
      <c r="L23" s="30"/>
    </row>
    <row r="24" spans="1:12" ht="15.75" x14ac:dyDescent="0.25">
      <c r="A24" s="1" t="s">
        <v>18</v>
      </c>
      <c r="B24" s="1" t="s">
        <v>14</v>
      </c>
      <c r="C24" s="1" t="s">
        <v>15</v>
      </c>
      <c r="H24" s="5"/>
      <c r="I24" s="5"/>
      <c r="J24" s="5"/>
      <c r="K24" s="5"/>
      <c r="L24" s="5"/>
    </row>
    <row r="25" spans="1:12" x14ac:dyDescent="0.25">
      <c r="A25" t="s">
        <v>1</v>
      </c>
      <c r="B25" s="7">
        <v>9.2899999999999996E-3</v>
      </c>
      <c r="C25" s="7">
        <v>1.2E-2</v>
      </c>
    </row>
    <row r="26" spans="1:12" x14ac:dyDescent="0.25">
      <c r="A26" t="s">
        <v>2</v>
      </c>
      <c r="B26" s="7">
        <v>7.7600000000000002E-2</v>
      </c>
      <c r="C26" s="7">
        <v>9.0999999999999998E-2</v>
      </c>
    </row>
    <row r="27" spans="1:12" x14ac:dyDescent="0.25">
      <c r="A27" t="s">
        <v>3</v>
      </c>
      <c r="B27" s="7">
        <v>0.14699999999999999</v>
      </c>
      <c r="C27" s="7">
        <v>0.14499999999999999</v>
      </c>
    </row>
    <row r="37" spans="1:5" x14ac:dyDescent="0.25">
      <c r="A37" t="s">
        <v>0</v>
      </c>
      <c r="B37" t="s">
        <v>12</v>
      </c>
      <c r="C37" t="s">
        <v>1</v>
      </c>
      <c r="D37" t="s">
        <v>2</v>
      </c>
      <c r="E37" t="s">
        <v>3</v>
      </c>
    </row>
    <row r="38" spans="1:5" x14ac:dyDescent="0.25">
      <c r="A38" t="s">
        <v>4</v>
      </c>
      <c r="B38">
        <v>800</v>
      </c>
      <c r="C38">
        <v>800</v>
      </c>
      <c r="D38">
        <v>800</v>
      </c>
      <c r="E38">
        <v>800</v>
      </c>
    </row>
    <row r="39" spans="1:5" x14ac:dyDescent="0.25">
      <c r="A39" t="s">
        <v>5</v>
      </c>
      <c r="B39">
        <v>400</v>
      </c>
      <c r="C39">
        <v>400</v>
      </c>
      <c r="D39">
        <v>400</v>
      </c>
      <c r="E39">
        <v>400</v>
      </c>
    </row>
    <row r="40" spans="1:5" x14ac:dyDescent="0.25">
      <c r="A40" t="s">
        <v>6</v>
      </c>
      <c r="B40" t="s">
        <v>13</v>
      </c>
      <c r="C40">
        <v>25</v>
      </c>
      <c r="D40">
        <v>200</v>
      </c>
      <c r="E40">
        <v>400</v>
      </c>
    </row>
    <row r="41" spans="1:5" x14ac:dyDescent="0.25">
      <c r="A41" t="s">
        <v>7</v>
      </c>
      <c r="B41" t="s">
        <v>13</v>
      </c>
      <c r="C41">
        <v>25</v>
      </c>
      <c r="D41">
        <v>150</v>
      </c>
      <c r="E41">
        <v>350</v>
      </c>
    </row>
    <row r="42" spans="1:5" x14ac:dyDescent="0.25">
      <c r="A42" t="s">
        <v>8</v>
      </c>
      <c r="B42" t="s">
        <v>16</v>
      </c>
      <c r="C42" t="s">
        <v>16</v>
      </c>
      <c r="D42" t="s">
        <v>16</v>
      </c>
      <c r="E42" t="s">
        <v>17</v>
      </c>
    </row>
  </sheetData>
  <mergeCells count="8">
    <mergeCell ref="M3:Q3"/>
    <mergeCell ref="H23:L23"/>
    <mergeCell ref="H13:L13"/>
    <mergeCell ref="A1:C1"/>
    <mergeCell ref="A7:C7"/>
    <mergeCell ref="A13:C13"/>
    <mergeCell ref="A18:C18"/>
    <mergeCell ref="A23:C23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6EDC3-7110-401E-BEDE-B302C29C02E9}">
  <sheetPr codeName="Planilha6"/>
  <dimension ref="A1:L27"/>
  <sheetViews>
    <sheetView workbookViewId="0">
      <selection activeCell="E21" sqref="E21"/>
    </sheetView>
  </sheetViews>
  <sheetFormatPr defaultRowHeight="15" x14ac:dyDescent="0.25"/>
  <cols>
    <col min="1" max="1" width="9.7109375" style="1" bestFit="1" customWidth="1"/>
    <col min="2" max="2" width="15" style="1" bestFit="1" customWidth="1"/>
    <col min="3" max="3" width="19" style="1" bestFit="1" customWidth="1"/>
    <col min="5" max="5" width="18.140625" bestFit="1" customWidth="1"/>
    <col min="6" max="7" width="14.42578125" bestFit="1" customWidth="1"/>
    <col min="8" max="8" width="15.5703125" bestFit="1" customWidth="1"/>
    <col min="9" max="9" width="14.85546875" bestFit="1" customWidth="1"/>
    <col min="10" max="10" width="13.140625" bestFit="1" customWidth="1"/>
    <col min="11" max="11" width="14.140625" bestFit="1" customWidth="1"/>
    <col min="12" max="12" width="16.7109375" bestFit="1" customWidth="1"/>
  </cols>
  <sheetData>
    <row r="1" spans="1:12" ht="18.75" x14ac:dyDescent="0.3">
      <c r="A1" s="25" t="s">
        <v>23</v>
      </c>
      <c r="B1" s="25"/>
      <c r="C1" s="25"/>
      <c r="E1" s="29" t="s">
        <v>9</v>
      </c>
      <c r="F1" s="29"/>
      <c r="G1" s="29"/>
      <c r="H1" s="29"/>
      <c r="I1" s="29"/>
      <c r="J1" s="29"/>
      <c r="K1" s="29"/>
    </row>
    <row r="2" spans="1:12" x14ac:dyDescent="0.25">
      <c r="A2" s="1" t="s">
        <v>18</v>
      </c>
      <c r="B2" s="1" t="s">
        <v>14</v>
      </c>
      <c r="C2" s="1" t="s">
        <v>15</v>
      </c>
      <c r="E2" t="s">
        <v>0</v>
      </c>
      <c r="F2" t="s">
        <v>4</v>
      </c>
      <c r="G2" t="s">
        <v>5</v>
      </c>
      <c r="H2" t="s">
        <v>6</v>
      </c>
      <c r="I2" t="s">
        <v>7</v>
      </c>
      <c r="J2" t="s">
        <v>10</v>
      </c>
      <c r="K2" t="s">
        <v>11</v>
      </c>
      <c r="L2" t="s">
        <v>25</v>
      </c>
    </row>
    <row r="3" spans="1:12" x14ac:dyDescent="0.25">
      <c r="A3" s="1" t="s">
        <v>12</v>
      </c>
      <c r="B3" s="2">
        <v>21314090</v>
      </c>
      <c r="C3" s="6">
        <v>21043459.579999998</v>
      </c>
      <c r="E3" t="s">
        <v>12</v>
      </c>
      <c r="F3">
        <v>800</v>
      </c>
      <c r="G3">
        <v>400</v>
      </c>
      <c r="H3" t="s">
        <v>13</v>
      </c>
      <c r="I3" t="s">
        <v>13</v>
      </c>
      <c r="J3" t="s">
        <v>13</v>
      </c>
      <c r="K3" t="s">
        <v>13</v>
      </c>
      <c r="L3">
        <v>1</v>
      </c>
    </row>
    <row r="4" spans="1:12" x14ac:dyDescent="0.25">
      <c r="A4" s="1" t="s">
        <v>1</v>
      </c>
      <c r="B4" s="2">
        <v>21364520</v>
      </c>
      <c r="C4" s="2">
        <v>21155391.760000002</v>
      </c>
      <c r="E4" t="s">
        <v>1</v>
      </c>
      <c r="F4">
        <v>800</v>
      </c>
      <c r="G4">
        <v>400</v>
      </c>
      <c r="H4">
        <v>25</v>
      </c>
      <c r="I4">
        <v>25</v>
      </c>
      <c r="J4">
        <v>10</v>
      </c>
      <c r="K4">
        <v>76</v>
      </c>
    </row>
    <row r="5" spans="1:12" x14ac:dyDescent="0.25">
      <c r="A5" s="1" t="s">
        <v>2</v>
      </c>
      <c r="B5" s="2">
        <v>21682110</v>
      </c>
      <c r="C5" s="2">
        <v>20789653.620000001</v>
      </c>
      <c r="E5" t="s">
        <v>2</v>
      </c>
      <c r="F5">
        <v>800</v>
      </c>
      <c r="G5">
        <v>400</v>
      </c>
      <c r="H5">
        <v>400</v>
      </c>
      <c r="I5">
        <v>450</v>
      </c>
      <c r="J5">
        <v>110</v>
      </c>
      <c r="K5">
        <v>836</v>
      </c>
    </row>
    <row r="6" spans="1:12" x14ac:dyDescent="0.25">
      <c r="A6" s="1" t="s">
        <v>3</v>
      </c>
      <c r="B6" s="2">
        <v>21212200</v>
      </c>
      <c r="C6" s="2">
        <v>20820349.649999999</v>
      </c>
      <c r="E6" t="s">
        <v>3</v>
      </c>
      <c r="F6">
        <v>800</v>
      </c>
      <c r="G6">
        <v>400</v>
      </c>
      <c r="H6">
        <v>625</v>
      </c>
      <c r="I6">
        <v>600</v>
      </c>
      <c r="J6">
        <v>120</v>
      </c>
      <c r="K6">
        <v>912</v>
      </c>
    </row>
    <row r="7" spans="1:12" x14ac:dyDescent="0.25">
      <c r="A7" s="25" t="s">
        <v>20</v>
      </c>
      <c r="B7" s="25"/>
      <c r="C7" s="25"/>
      <c r="F7" cm="1">
        <f t="array" ref="F7">INDEX(F3:F6,$L$3)</f>
        <v>800</v>
      </c>
      <c r="G7" cm="1">
        <f t="array" ref="G7">INDEX(G3:G6,$L$3)</f>
        <v>400</v>
      </c>
      <c r="H7" t="str" cm="1">
        <f t="array" ref="H7">INDEX(H3:H6,$L$3)</f>
        <v>-</v>
      </c>
      <c r="I7" t="str" cm="1">
        <f t="array" ref="I7">INDEX(I3:I6,$L$3)</f>
        <v>-</v>
      </c>
      <c r="J7" t="str" cm="1">
        <f t="array" ref="J7">INDEX(J3:J6,$L$3)</f>
        <v>-</v>
      </c>
      <c r="K7" t="str" cm="1">
        <f t="array" ref="K7">INDEX(K3:K6,$L$3)</f>
        <v>-</v>
      </c>
    </row>
    <row r="8" spans="1:12" x14ac:dyDescent="0.25">
      <c r="A8" s="1" t="s">
        <v>18</v>
      </c>
      <c r="B8" s="1" t="s">
        <v>14</v>
      </c>
      <c r="C8" s="1" t="s">
        <v>15</v>
      </c>
    </row>
    <row r="9" spans="1:12" x14ac:dyDescent="0.25">
      <c r="A9" s="1" t="s">
        <v>12</v>
      </c>
      <c r="B9" s="2">
        <v>0.51459999999999995</v>
      </c>
      <c r="C9" s="2">
        <v>0.52100000000000002</v>
      </c>
    </row>
    <row r="10" spans="1:12" x14ac:dyDescent="0.25">
      <c r="A10" s="1" t="s">
        <v>1</v>
      </c>
      <c r="B10" s="2">
        <v>0.51580000000000004</v>
      </c>
      <c r="C10" s="2">
        <v>0.52800000000000002</v>
      </c>
    </row>
    <row r="11" spans="1:12" x14ac:dyDescent="0.25">
      <c r="A11" s="1" t="s">
        <v>2</v>
      </c>
      <c r="B11" s="2">
        <v>0.52349999999999997</v>
      </c>
      <c r="C11" s="2">
        <v>0.51880000000000004</v>
      </c>
    </row>
    <row r="12" spans="1:12" x14ac:dyDescent="0.25">
      <c r="A12" s="1" t="s">
        <v>3</v>
      </c>
      <c r="B12" s="2">
        <v>0.5121</v>
      </c>
      <c r="C12" s="2">
        <v>0.51959999999999995</v>
      </c>
    </row>
    <row r="13" spans="1:12" x14ac:dyDescent="0.25">
      <c r="A13" s="25" t="s">
        <v>21</v>
      </c>
      <c r="B13" s="25"/>
      <c r="C13" s="25"/>
    </row>
    <row r="14" spans="1:12" x14ac:dyDescent="0.25">
      <c r="A14" s="1" t="s">
        <v>18</v>
      </c>
      <c r="B14" s="1" t="s">
        <v>14</v>
      </c>
      <c r="C14" s="1" t="s">
        <v>15</v>
      </c>
    </row>
    <row r="15" spans="1:12" x14ac:dyDescent="0.25">
      <c r="A15" s="1" t="s">
        <v>1</v>
      </c>
      <c r="B15" s="3">
        <v>4.0000000000000001E-3</v>
      </c>
      <c r="C15" s="3">
        <v>-6.0000000000000001E-3</v>
      </c>
    </row>
    <row r="16" spans="1:12" x14ac:dyDescent="0.25">
      <c r="A16" s="1" t="s">
        <v>2</v>
      </c>
      <c r="B16" s="3">
        <v>1.7999999999999999E-2</v>
      </c>
      <c r="C16" s="3">
        <v>0.03</v>
      </c>
    </row>
    <row r="17" spans="1:3" x14ac:dyDescent="0.25">
      <c r="A17" s="1" t="s">
        <v>3</v>
      </c>
      <c r="B17" s="3">
        <v>2.8000000000000001E-2</v>
      </c>
      <c r="C17" s="3">
        <v>2.9000000000000001E-2</v>
      </c>
    </row>
    <row r="18" spans="1:3" x14ac:dyDescent="0.25">
      <c r="A18" s="25" t="s">
        <v>22</v>
      </c>
      <c r="B18" s="25"/>
      <c r="C18" s="25"/>
    </row>
    <row r="19" spans="1:3" x14ac:dyDescent="0.25">
      <c r="A19" s="1" t="s">
        <v>18</v>
      </c>
      <c r="B19" s="1" t="s">
        <v>14</v>
      </c>
      <c r="C19" s="1" t="s">
        <v>15</v>
      </c>
    </row>
    <row r="20" spans="1:3" x14ac:dyDescent="0.25">
      <c r="A20" s="1" t="s">
        <v>1</v>
      </c>
      <c r="B20" s="1">
        <v>18.03</v>
      </c>
      <c r="C20" s="1">
        <v>20</v>
      </c>
    </row>
    <row r="21" spans="1:3" x14ac:dyDescent="0.25">
      <c r="A21" s="1" t="s">
        <v>2</v>
      </c>
      <c r="B21" s="1">
        <v>18.5</v>
      </c>
      <c r="C21" s="1">
        <v>13.98</v>
      </c>
    </row>
    <row r="22" spans="1:3" x14ac:dyDescent="0.25">
      <c r="A22" s="1" t="s">
        <v>3</v>
      </c>
      <c r="B22" s="1">
        <v>16</v>
      </c>
      <c r="C22" s="1">
        <v>15.78</v>
      </c>
    </row>
    <row r="23" spans="1:3" x14ac:dyDescent="0.25">
      <c r="A23" s="25" t="s">
        <v>24</v>
      </c>
      <c r="B23" s="25"/>
      <c r="C23" s="25"/>
    </row>
    <row r="24" spans="1:3" x14ac:dyDescent="0.25">
      <c r="A24" s="1" t="s">
        <v>18</v>
      </c>
      <c r="B24" s="1" t="s">
        <v>14</v>
      </c>
      <c r="C24" s="1" t="s">
        <v>15</v>
      </c>
    </row>
    <row r="25" spans="1:3" x14ac:dyDescent="0.25">
      <c r="A25" s="1" t="s">
        <v>1</v>
      </c>
      <c r="B25" s="3">
        <v>9.3600000000000003E-3</v>
      </c>
      <c r="C25" s="3">
        <v>1.2999999999999999E-2</v>
      </c>
    </row>
    <row r="26" spans="1:3" x14ac:dyDescent="0.25">
      <c r="A26" s="1" t="s">
        <v>2</v>
      </c>
      <c r="B26" s="3">
        <v>0.13400000000000001</v>
      </c>
      <c r="C26" s="3">
        <v>0.151</v>
      </c>
    </row>
    <row r="27" spans="1:3" x14ac:dyDescent="0.25">
      <c r="A27" s="1" t="s">
        <v>3</v>
      </c>
      <c r="B27" s="3">
        <v>0.2084</v>
      </c>
      <c r="C27" s="3">
        <v>0.214</v>
      </c>
    </row>
  </sheetData>
  <mergeCells count="6">
    <mergeCell ref="E1:K1"/>
    <mergeCell ref="A18:C18"/>
    <mergeCell ref="A23:C23"/>
    <mergeCell ref="A1:C1"/>
    <mergeCell ref="A7:C7"/>
    <mergeCell ref="A13:C1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BATTERY-DIESEL</vt:lpstr>
      <vt:lpstr>PV DIESEL</vt:lpstr>
      <vt:lpstr>DASHBOARD</vt:lpstr>
      <vt:lpstr>SYSTEM CONTROL</vt:lpstr>
      <vt:lpstr>BATTERY-DIESEL DATA</vt:lpstr>
      <vt:lpstr>PV-DIESEL DATA</vt:lpstr>
      <vt:lpstr>PV-DIESEL-BATTERY DATA</vt:lpstr>
      <vt:lpstr>DASHBOARD!Area_de_impressao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Jaime Machado Simoes</dc:creator>
  <cp:lastModifiedBy>Leonardo Jaime Machado Simoes</cp:lastModifiedBy>
  <dcterms:created xsi:type="dcterms:W3CDTF">2022-08-18T15:18:01Z</dcterms:created>
  <dcterms:modified xsi:type="dcterms:W3CDTF">2022-09-15T14:05:13Z</dcterms:modified>
</cp:coreProperties>
</file>